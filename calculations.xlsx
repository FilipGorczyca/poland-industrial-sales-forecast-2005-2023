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rc\Desktop\"/>
    </mc:Choice>
  </mc:AlternateContent>
  <xr:revisionPtr revIDLastSave="0" documentId="13_ncr:1_{5B8226E4-34B8-4EA1-BEE4-4882A6306196}" xr6:coauthVersionLast="47" xr6:coauthVersionMax="47" xr10:uidLastSave="{00000000-0000-0000-0000-000000000000}"/>
  <bookViews>
    <workbookView xWindow="-108" yWindow="-108" windowWidth="23256" windowHeight="12456" tabRatio="892" activeTab="2" xr2:uid="{00000000-000D-0000-FFFF-FFFF00000000}"/>
  </bookViews>
  <sheets>
    <sheet name="OPIS" sheetId="1" r:id="rId1"/>
    <sheet name="TABLICA" sheetId="2" r:id="rId2"/>
    <sheet name="liniowa" sheetId="5" r:id="rId3"/>
    <sheet name="potęgowa" sheetId="3" r:id="rId4"/>
    <sheet name="wykładnicza" sheetId="4" r:id="rId5"/>
    <sheet name="wielomianowy" sheetId="8" r:id="rId6"/>
    <sheet name="Holta24" sheetId="12" r:id="rId7"/>
    <sheet name="holta25" sheetId="13" r:id="rId8"/>
  </sheets>
  <definedNames>
    <definedName name="solver_adj" localSheetId="6" hidden="1">Holta24!$I$4:$I$5</definedName>
    <definedName name="solver_adj" localSheetId="7" hidden="1">holta25!$I$4:$I$5</definedName>
    <definedName name="solver_cvg" localSheetId="6" hidden="1">0.0001</definedName>
    <definedName name="solver_cvg" localSheetId="7" hidden="1">0.0001</definedName>
    <definedName name="solver_drv" localSheetId="6" hidden="1">1</definedName>
    <definedName name="solver_drv" localSheetId="7" hidden="1">1</definedName>
    <definedName name="solver_eng" localSheetId="6" hidden="1">1</definedName>
    <definedName name="solver_eng" localSheetId="7" hidden="1">1</definedName>
    <definedName name="solver_est" localSheetId="6" hidden="1">1</definedName>
    <definedName name="solver_est" localSheetId="7" hidden="1">1</definedName>
    <definedName name="solver_itr" localSheetId="6" hidden="1">2147483647</definedName>
    <definedName name="solver_itr" localSheetId="7" hidden="1">2147483647</definedName>
    <definedName name="solver_lhs1" localSheetId="6" hidden="1">Holta24!$I$4</definedName>
    <definedName name="solver_lhs1" localSheetId="7" hidden="1">holta25!$I$4</definedName>
    <definedName name="solver_lhs2" localSheetId="6" hidden="1">Holta24!$I$4</definedName>
    <definedName name="solver_lhs2" localSheetId="7" hidden="1">holta25!$I$4</definedName>
    <definedName name="solver_lhs3" localSheetId="6" hidden="1">Holta24!$I$5</definedName>
    <definedName name="solver_lhs3" localSheetId="7" hidden="1">holta25!$I$5</definedName>
    <definedName name="solver_lhs4" localSheetId="6" hidden="1">Holta24!$I$5</definedName>
    <definedName name="solver_lhs4" localSheetId="7" hidden="1">holta25!$I$5</definedName>
    <definedName name="solver_mip" localSheetId="6" hidden="1">2147483647</definedName>
    <definedName name="solver_mip" localSheetId="7" hidden="1">2147483647</definedName>
    <definedName name="solver_mni" localSheetId="6" hidden="1">30</definedName>
    <definedName name="solver_mni" localSheetId="7" hidden="1">30</definedName>
    <definedName name="solver_mrt" localSheetId="6" hidden="1">0.075</definedName>
    <definedName name="solver_mrt" localSheetId="7" hidden="1">0.075</definedName>
    <definedName name="solver_msl" localSheetId="6" hidden="1">2</definedName>
    <definedName name="solver_msl" localSheetId="7" hidden="1">2</definedName>
    <definedName name="solver_neg" localSheetId="6" hidden="1">1</definedName>
    <definedName name="solver_neg" localSheetId="7" hidden="1">1</definedName>
    <definedName name="solver_nod" localSheetId="6" hidden="1">2147483647</definedName>
    <definedName name="solver_nod" localSheetId="7" hidden="1">2147483647</definedName>
    <definedName name="solver_num" localSheetId="6" hidden="1">4</definedName>
    <definedName name="solver_num" localSheetId="7" hidden="1">4</definedName>
    <definedName name="solver_nwt" localSheetId="6" hidden="1">1</definedName>
    <definedName name="solver_nwt" localSheetId="7" hidden="1">1</definedName>
    <definedName name="solver_opt" localSheetId="6" hidden="1">Holta24!$M$6</definedName>
    <definedName name="solver_opt" localSheetId="7" hidden="1">holta25!$M$6</definedName>
    <definedName name="solver_pre" localSheetId="6" hidden="1">0.000001</definedName>
    <definedName name="solver_pre" localSheetId="7" hidden="1">0.000001</definedName>
    <definedName name="solver_rbv" localSheetId="6" hidden="1">1</definedName>
    <definedName name="solver_rbv" localSheetId="7" hidden="1">1</definedName>
    <definedName name="solver_rel1" localSheetId="6" hidden="1">1</definedName>
    <definedName name="solver_rel1" localSheetId="7" hidden="1">1</definedName>
    <definedName name="solver_rel2" localSheetId="6" hidden="1">3</definedName>
    <definedName name="solver_rel2" localSheetId="7" hidden="1">3</definedName>
    <definedName name="solver_rel3" localSheetId="6" hidden="1">1</definedName>
    <definedName name="solver_rel3" localSheetId="7" hidden="1">1</definedName>
    <definedName name="solver_rel4" localSheetId="6" hidden="1">3</definedName>
    <definedName name="solver_rel4" localSheetId="7" hidden="1">3</definedName>
    <definedName name="solver_rhs1" localSheetId="6" hidden="1">1</definedName>
    <definedName name="solver_rhs1" localSheetId="7" hidden="1">1</definedName>
    <definedName name="solver_rhs2" localSheetId="6" hidden="1">0</definedName>
    <definedName name="solver_rhs2" localSheetId="7" hidden="1">0</definedName>
    <definedName name="solver_rhs3" localSheetId="6" hidden="1">1</definedName>
    <definedName name="solver_rhs3" localSheetId="7" hidden="1">1</definedName>
    <definedName name="solver_rhs4" localSheetId="6" hidden="1">0</definedName>
    <definedName name="solver_rhs4" localSheetId="7" hidden="1">0</definedName>
    <definedName name="solver_rlx" localSheetId="6" hidden="1">2</definedName>
    <definedName name="solver_rlx" localSheetId="7" hidden="1">2</definedName>
    <definedName name="solver_rsd" localSheetId="6" hidden="1">0</definedName>
    <definedName name="solver_rsd" localSheetId="7" hidden="1">0</definedName>
    <definedName name="solver_scl" localSheetId="6" hidden="1">1</definedName>
    <definedName name="solver_scl" localSheetId="7" hidden="1">1</definedName>
    <definedName name="solver_sho" localSheetId="6" hidden="1">2</definedName>
    <definedName name="solver_sho" localSheetId="7" hidden="1">2</definedName>
    <definedName name="solver_ssz" localSheetId="6" hidden="1">100</definedName>
    <definedName name="solver_ssz" localSheetId="7" hidden="1">100</definedName>
    <definedName name="solver_tim" localSheetId="6" hidden="1">2147483647</definedName>
    <definedName name="solver_tim" localSheetId="7" hidden="1">2147483647</definedName>
    <definedName name="solver_tol" localSheetId="6" hidden="1">0.01</definedName>
    <definedName name="solver_tol" localSheetId="7" hidden="1">0.01</definedName>
    <definedName name="solver_typ" localSheetId="6" hidden="1">2</definedName>
    <definedName name="solver_typ" localSheetId="7" hidden="1">2</definedName>
    <definedName name="solver_val" localSheetId="6" hidden="1">0</definedName>
    <definedName name="solver_val" localSheetId="7" hidden="1">0</definedName>
    <definedName name="solver_ver" localSheetId="6" hidden="1">3</definedName>
    <definedName name="solver_ver" localSheetId="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3" l="1"/>
  <c r="I40" i="4"/>
  <c r="J36" i="3"/>
  <c r="R36" i="3"/>
  <c r="R31" i="3"/>
  <c r="Q40" i="4"/>
  <c r="Q35" i="4"/>
  <c r="I35" i="4"/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" i="8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" i="5"/>
  <c r="K32" i="8"/>
  <c r="D2" i="13" l="1"/>
  <c r="C2" i="13"/>
  <c r="E3" i="13" s="1"/>
  <c r="F3" i="13" s="1"/>
  <c r="D2" i="12"/>
  <c r="C2" i="12"/>
  <c r="C3" i="12" s="1"/>
  <c r="S16" i="8" a="1"/>
  <c r="S16" i="8" s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" i="8"/>
  <c r="E2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" i="8"/>
  <c r="L2" i="8" s="1" a="1"/>
  <c r="T32" i="8"/>
  <c r="L2" i="8" l="1"/>
  <c r="L18" i="8" s="1"/>
  <c r="L11" i="8"/>
  <c r="S24" i="8"/>
  <c r="L17" i="8"/>
  <c r="L16" i="8"/>
  <c r="L15" i="8"/>
  <c r="L14" i="8"/>
  <c r="L10" i="8"/>
  <c r="K24" i="8"/>
  <c r="J35" i="8" a="1"/>
  <c r="J35" i="8" s="1"/>
  <c r="J36" i="8" s="1"/>
  <c r="S35" i="8" a="1"/>
  <c r="S35" i="8" s="1"/>
  <c r="S36" i="8" s="1"/>
  <c r="C3" i="13"/>
  <c r="D3" i="12"/>
  <c r="C4" i="12" s="1"/>
  <c r="E3" i="12"/>
  <c r="F3" i="12" s="1"/>
  <c r="L12" i="8"/>
  <c r="L13" i="8" s="1"/>
  <c r="L19" i="8"/>
  <c r="D3" i="13" l="1"/>
  <c r="E4" i="13" s="1"/>
  <c r="F4" i="13" s="1"/>
  <c r="D4" i="12"/>
  <c r="C5" i="12" s="1"/>
  <c r="E4" i="12"/>
  <c r="F4" i="12" s="1"/>
  <c r="C4" i="13" l="1"/>
  <c r="D5" i="12"/>
  <c r="C6" i="12" s="1"/>
  <c r="E5" i="12"/>
  <c r="F5" i="12" s="1"/>
  <c r="J43" i="8"/>
  <c r="S43" i="8"/>
  <c r="E6" i="12" l="1"/>
  <c r="F6" i="12" s="1"/>
  <c r="D4" i="13"/>
  <c r="C5" i="13" s="1"/>
  <c r="D6" i="12"/>
  <c r="C7" i="12" s="1"/>
  <c r="E5" i="13" l="1"/>
  <c r="F5" i="13" s="1"/>
  <c r="D5" i="13"/>
  <c r="E6" i="13" s="1"/>
  <c r="F6" i="13" s="1"/>
  <c r="D7" i="12"/>
  <c r="C8" i="12" s="1"/>
  <c r="E7" i="12"/>
  <c r="F7" i="12" s="1"/>
  <c r="C6" i="13" l="1"/>
  <c r="D8" i="12"/>
  <c r="C9" i="12" s="1"/>
  <c r="E8" i="12"/>
  <c r="F8" i="12" s="1"/>
  <c r="D6" i="13" l="1"/>
  <c r="E7" i="13" s="1"/>
  <c r="F7" i="13" s="1"/>
  <c r="D9" i="12"/>
  <c r="C10" i="12" s="1"/>
  <c r="E9" i="12"/>
  <c r="F9" i="12" s="1"/>
  <c r="C7" i="13" l="1"/>
  <c r="D10" i="12"/>
  <c r="C11" i="12" s="1"/>
  <c r="E10" i="12"/>
  <c r="F10" i="12" s="1"/>
  <c r="D7" i="13" l="1"/>
  <c r="E8" i="13" s="1"/>
  <c r="F8" i="13" s="1"/>
  <c r="D11" i="12"/>
  <c r="C12" i="12" s="1"/>
  <c r="E11" i="12"/>
  <c r="F11" i="12" s="1"/>
  <c r="C8" i="13" l="1"/>
  <c r="D8" i="13" s="1"/>
  <c r="C9" i="13" s="1"/>
  <c r="D12" i="12"/>
  <c r="C13" i="12" s="1"/>
  <c r="E12" i="12"/>
  <c r="F12" i="12" s="1"/>
  <c r="E9" i="13" l="1"/>
  <c r="F9" i="13" s="1"/>
  <c r="D9" i="13"/>
  <c r="E10" i="13" s="1"/>
  <c r="F10" i="13" s="1"/>
  <c r="D13" i="12"/>
  <c r="C14" i="12" s="1"/>
  <c r="E13" i="12"/>
  <c r="F13" i="12" s="1"/>
  <c r="C10" i="13" l="1"/>
  <c r="D14" i="12"/>
  <c r="C15" i="12" s="1"/>
  <c r="E14" i="12"/>
  <c r="F14" i="12" s="1"/>
  <c r="D10" i="13" l="1"/>
  <c r="C11" i="13" s="1"/>
  <c r="D15" i="12"/>
  <c r="C16" i="12" s="1"/>
  <c r="E15" i="12"/>
  <c r="F15" i="12" s="1"/>
  <c r="D11" i="13" l="1"/>
  <c r="C12" i="13" s="1"/>
  <c r="E11" i="13"/>
  <c r="F11" i="13" s="1"/>
  <c r="D16" i="12"/>
  <c r="C17" i="12" s="1"/>
  <c r="E16" i="12"/>
  <c r="F16" i="12" s="1"/>
  <c r="D12" i="13" l="1"/>
  <c r="C13" i="13" s="1"/>
  <c r="E12" i="13"/>
  <c r="F12" i="13" s="1"/>
  <c r="D17" i="12"/>
  <c r="C18" i="12" s="1"/>
  <c r="E17" i="12"/>
  <c r="F17" i="12" s="1"/>
  <c r="E13" i="13" l="1"/>
  <c r="F13" i="13" s="1"/>
  <c r="D13" i="13"/>
  <c r="E14" i="13" s="1"/>
  <c r="F14" i="13" s="1"/>
  <c r="D18" i="12"/>
  <c r="C19" i="12" s="1"/>
  <c r="E18" i="12"/>
  <c r="F18" i="12" s="1"/>
  <c r="C14" i="13" l="1"/>
  <c r="D14" i="13" s="1"/>
  <c r="E15" i="13" s="1"/>
  <c r="F15" i="13" s="1"/>
  <c r="D19" i="12"/>
  <c r="C20" i="12" s="1"/>
  <c r="E19" i="12"/>
  <c r="F19" i="12" s="1"/>
  <c r="C15" i="13" l="1"/>
  <c r="D20" i="12"/>
  <c r="M2" i="12" s="1"/>
  <c r="E20" i="12"/>
  <c r="F20" i="12" s="1"/>
  <c r="M5" i="12" s="1"/>
  <c r="M6" i="12" s="1"/>
  <c r="D15" i="13" l="1"/>
  <c r="C16" i="13" s="1"/>
  <c r="O22" i="5"/>
  <c r="J22" i="5"/>
  <c r="K11" i="5"/>
  <c r="F12" i="5" a="1"/>
  <c r="F12" i="5" s="1"/>
  <c r="J2" i="5" a="1"/>
  <c r="J2" i="5" s="1"/>
  <c r="Q27" i="5"/>
  <c r="K27" i="5"/>
  <c r="K12" i="5"/>
  <c r="K13" i="5" s="1"/>
  <c r="R31" i="4"/>
  <c r="J31" i="4"/>
  <c r="L2" i="4" a="1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H9" i="4" a="1"/>
  <c r="C2" i="4"/>
  <c r="R27" i="3"/>
  <c r="K27" i="3"/>
  <c r="F21" i="3"/>
  <c r="F22" i="3"/>
  <c r="L2" i="3" a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I8" i="3" s="1" a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" i="3"/>
  <c r="L2" i="4" l="1"/>
  <c r="F3" i="4"/>
  <c r="F19" i="4"/>
  <c r="Q3" i="4"/>
  <c r="F16" i="4"/>
  <c r="F4" i="4"/>
  <c r="F20" i="4"/>
  <c r="F15" i="4"/>
  <c r="F18" i="4"/>
  <c r="F5" i="4"/>
  <c r="F21" i="4"/>
  <c r="F11" i="4"/>
  <c r="F14" i="4"/>
  <c r="F6" i="4"/>
  <c r="F22" i="4"/>
  <c r="F2" i="4"/>
  <c r="F13" i="4"/>
  <c r="F7" i="4"/>
  <c r="F8" i="4"/>
  <c r="F12" i="4"/>
  <c r="F17" i="4"/>
  <c r="F9" i="4"/>
  <c r="F10" i="4"/>
  <c r="L2" i="3"/>
  <c r="L15" i="3" s="1"/>
  <c r="G3" i="3"/>
  <c r="G19" i="3"/>
  <c r="G4" i="3"/>
  <c r="G20" i="3"/>
  <c r="G5" i="3"/>
  <c r="G21" i="3"/>
  <c r="G6" i="3"/>
  <c r="G22" i="3"/>
  <c r="G7" i="3"/>
  <c r="G2" i="3"/>
  <c r="G9" i="3"/>
  <c r="G8" i="3"/>
  <c r="G10" i="3"/>
  <c r="G12" i="3"/>
  <c r="G13" i="3"/>
  <c r="G14" i="3"/>
  <c r="G15" i="3"/>
  <c r="G16" i="3"/>
  <c r="G17" i="3"/>
  <c r="G18" i="3"/>
  <c r="G11" i="3"/>
  <c r="I8" i="3"/>
  <c r="R30" i="3" a="1"/>
  <c r="R30" i="3" s="1"/>
  <c r="J30" i="3" a="1"/>
  <c r="J30" i="3" s="1"/>
  <c r="K22" i="3"/>
  <c r="K23" i="3" s="1"/>
  <c r="R22" i="3"/>
  <c r="R23" i="3" s="1"/>
  <c r="D16" i="13"/>
  <c r="C17" i="13" s="1"/>
  <c r="E16" i="13"/>
  <c r="F16" i="13" s="1"/>
  <c r="K16" i="5"/>
  <c r="K15" i="5"/>
  <c r="K10" i="5"/>
  <c r="K17" i="5"/>
  <c r="I22" i="4"/>
  <c r="Q22" i="4"/>
  <c r="L11" i="4"/>
  <c r="H9" i="4"/>
  <c r="Q34" i="4" a="1"/>
  <c r="Q34" i="4" s="1"/>
  <c r="I34" i="4" a="1"/>
  <c r="I34" i="4" s="1"/>
  <c r="L17" i="4"/>
  <c r="L10" i="4"/>
  <c r="L16" i="4"/>
  <c r="L12" i="4"/>
  <c r="L13" i="4" s="1"/>
  <c r="L15" i="4"/>
  <c r="L12" i="3"/>
  <c r="L13" i="3" s="1"/>
  <c r="L10" i="3"/>
  <c r="L16" i="3"/>
  <c r="L11" i="3"/>
  <c r="L17" i="3"/>
  <c r="E17" i="13" l="1"/>
  <c r="F17" i="13" s="1"/>
  <c r="D17" i="13"/>
  <c r="E18" i="13" s="1"/>
  <c r="F18" i="13" s="1"/>
  <c r="P30" i="5" a="1"/>
  <c r="P30" i="5" s="1"/>
  <c r="P31" i="5" s="1"/>
  <c r="P34" i="5" s="1"/>
  <c r="J30" i="5" a="1"/>
  <c r="J30" i="5" s="1"/>
  <c r="J31" i="5" s="1"/>
  <c r="Q24" i="4"/>
  <c r="I24" i="4"/>
  <c r="C18" i="13" l="1"/>
  <c r="D18" i="13" s="1"/>
  <c r="E19" i="13" s="1"/>
  <c r="F19" i="13" s="1"/>
  <c r="J34" i="5"/>
  <c r="C19" i="13" l="1"/>
  <c r="D19" i="13" l="1"/>
  <c r="E20" i="13" s="1"/>
  <c r="F20" i="13" s="1"/>
  <c r="M5" i="13" s="1"/>
  <c r="M6" i="13" s="1"/>
  <c r="C20" i="13" l="1"/>
  <c r="D20" i="13" s="1"/>
  <c r="M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<sst xmlns="http://schemas.openxmlformats.org/spreadsheetml/2006/main" count="448" uniqueCount="162">
  <si>
    <t>Kategoria:</t>
  </si>
  <si>
    <t>PRZEMYSŁ I BUDOWNICTWO</t>
  </si>
  <si>
    <t>W zakresie Przemysłu prezentowane dane dotyczą produkcji sprzedanej przemysłu w podmiotach prowadzących działalność gospodarczą zaliczaną zgodnie z klasyfikacją PKD 2007 do sekcji B, C, D, E (wg PKD 2004 - do sekcji C, D, E). Dane te umożliwiają bieżącą oraz roczną ocenę aktywności produkcyjnej przemysłu. W zakresie Budownictwa prezentowane dane charakteryzują etapy procesu budowlanego w zakresie: wydanych pozwoleń na budowę, mieszkań, których budowę rozpoczęto, budynków (mieszkalnych i niemieszkalnych) i mieszkań oddanych do użytkowania oraz sprzedaży sekcji F Budownictwo, w tym produkcji budowlano-montażowej zrealizowanej przez przedsiębiorstwa budowlane.</t>
  </si>
  <si>
    <t>Grupa:</t>
  </si>
  <si>
    <t>PRODUKCJA SPRZEDANA PRZEMYSŁU I BUDOWNICTWA</t>
  </si>
  <si>
    <t>-</t>
  </si>
  <si>
    <t>Podgrupa:</t>
  </si>
  <si>
    <t>Produkcja sprzedana przemysłu ogółem i na 1 mieszkańca</t>
  </si>
  <si>
    <t>Ceny bieżące. Dane dotyczą pełnej zbiorowości. Dane roczne opracowywane są w ramach systemu zintegrowanego - na podstawie sprawozdań SP, F-01, DG-1, SP-3 oraz szacunków i mają status danych ostatecznych. Do obliczenia wskaźników na jednego mieszkańca od 2010 roku, przyjęto bilanse populacji opracowane na podstawie wyników Narodowego Spisu Powszechnego Ludności i Mieszkań 2011, od 2020 roku przyjęto bilanse populacji opracowane na podstawie wyników Narodowego Spisu Powszechnego Ludności i Mieszkań 2021.</t>
  </si>
  <si>
    <t>Data ostatniej aktualizacji:</t>
  </si>
  <si>
    <t>06.02.2025</t>
  </si>
  <si>
    <t>Wymiary:</t>
  </si>
  <si>
    <t>Klasyfikacje PKD; 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</si>
  <si>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</si>
  <si>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</si>
  <si>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</si>
  <si>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</si>
  <si>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wg PKD 2007</t>
  </si>
  <si>
    <t>ogółem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</si>
  <si>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</si>
  <si>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</si>
  <si>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</si>
  <si>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</si>
  <si>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</si>
  <si>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</si>
  <si>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</si>
  <si>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</si>
  <si>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</si>
  <si>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</si>
  <si>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</si>
  <si>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</si>
  <si>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</si>
  <si>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</si>
  <si>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</si>
  <si>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</si>
  <si>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</si>
  <si>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</si>
  <si>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</si>
  <si>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</si>
  <si>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</si>
  <si>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</si>
  <si>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[mln zł]</t>
  </si>
  <si>
    <t>0000000</t>
  </si>
  <si>
    <t>POLSKA</t>
  </si>
  <si>
    <t>ROK</t>
  </si>
  <si>
    <t>yt</t>
  </si>
  <si>
    <t>ln(yt)</t>
  </si>
  <si>
    <t>t</t>
  </si>
  <si>
    <t>jedynka</t>
  </si>
  <si>
    <t>ln(t)</t>
  </si>
  <si>
    <t>R^2</t>
  </si>
  <si>
    <t>a1</t>
  </si>
  <si>
    <t>d(a1)</t>
  </si>
  <si>
    <t>ln(a0)</t>
  </si>
  <si>
    <t>d(ln(a0))</t>
  </si>
  <si>
    <t>s</t>
  </si>
  <si>
    <t>T-k</t>
  </si>
  <si>
    <t>Ln(y) = 13,21 + 0,40 * ln(t)</t>
  </si>
  <si>
    <t>V_S</t>
  </si>
  <si>
    <t>fi^2</t>
  </si>
  <si>
    <t>T(a1)</t>
  </si>
  <si>
    <t>T(a0)</t>
  </si>
  <si>
    <t>T(alfa)</t>
  </si>
  <si>
    <t>Dla T= 20</t>
  </si>
  <si>
    <t>Dla T = 21</t>
  </si>
  <si>
    <t>ln(Y(TP)) =</t>
  </si>
  <si>
    <t>Y(TP)</t>
  </si>
  <si>
    <t>(X'X)^-1</t>
  </si>
  <si>
    <t>c</t>
  </si>
  <si>
    <t>SDT</t>
  </si>
  <si>
    <t>V_SDT</t>
  </si>
  <si>
    <t>y(t) = a0 * t^(a1)</t>
  </si>
  <si>
    <t>y(t) = a_0 * a_1 ^t</t>
  </si>
  <si>
    <t>ln(yt) = ln(a0) + t * ln(a_1)</t>
  </si>
  <si>
    <t xml:space="preserve">Ln(y) = 13,42 + t * 0,06 </t>
  </si>
  <si>
    <t>c*(X'X)^-1 *c'</t>
  </si>
  <si>
    <t>yt = a0 + a1 * t</t>
  </si>
  <si>
    <t>a0</t>
  </si>
  <si>
    <t>d(a0)</t>
  </si>
  <si>
    <t xml:space="preserve">yt </t>
  </si>
  <si>
    <t>Y(TP) =</t>
  </si>
  <si>
    <t>480863,15 + 86564,06 * t</t>
  </si>
  <si>
    <t>t^2</t>
  </si>
  <si>
    <t>a2</t>
  </si>
  <si>
    <t>a1/ D(a1)</t>
  </si>
  <si>
    <t>t^3</t>
  </si>
  <si>
    <t>y(t) = a0 + t*a1 +t^2 *a2 + t^3 * a3</t>
  </si>
  <si>
    <t>a2/ D(a2)</t>
  </si>
  <si>
    <t>a3</t>
  </si>
  <si>
    <t>d(a3)</t>
  </si>
  <si>
    <t xml:space="preserve">Ln(y) =  </t>
  </si>
  <si>
    <t>476571 + t* 183357 - t^2 * 19643,18 + t^3 * 836,83</t>
  </si>
  <si>
    <t>T(a2)</t>
  </si>
  <si>
    <t>T(a3)</t>
  </si>
  <si>
    <t>y^</t>
  </si>
  <si>
    <t>x</t>
  </si>
  <si>
    <t>c_t</t>
  </si>
  <si>
    <t>alfa</t>
  </si>
  <si>
    <t>h</t>
  </si>
  <si>
    <t>beta</t>
  </si>
  <si>
    <t>YTP</t>
  </si>
  <si>
    <t>(Yt - YTP)^2</t>
  </si>
  <si>
    <t>Prognoza na rok 2024</t>
  </si>
  <si>
    <t>Prognoza na rok 2025</t>
  </si>
  <si>
    <t xml:space="preserve">YTP = </t>
  </si>
  <si>
    <t>I_ep</t>
  </si>
  <si>
    <t>2006-2023</t>
  </si>
  <si>
    <t>m</t>
  </si>
  <si>
    <t>s_p</t>
  </si>
  <si>
    <t>V_sp</t>
  </si>
  <si>
    <t>Model</t>
  </si>
  <si>
    <t>model</t>
  </si>
  <si>
    <t>odchylenie standardowe</t>
  </si>
  <si>
    <t>Współczynnik zmienności resztowej</t>
  </si>
  <si>
    <t>Przeciętnie różnica między teorytyczną a rzeczywistą wartością produkcji sprzedanej przemysłu ogółem w Polsce w latach 2005-2023 stanowiła około 15,86% średniej wielkości badanej zmiennej. Wartośc jest większa od 10% co oznacza że model jest źle dopasowany do danych.</t>
  </si>
  <si>
    <t>Teorytyczna wartość produkcji sprzedanej przemysłu ogółem w Polsce w latach 2005-2023 różniła się od wartości rzeczywistych średnio o około 213 580 mln. zł.</t>
  </si>
  <si>
    <t>84,63% całkowitej zmienności wartości produkcji sprzedanej przemysłu ogółem w Polsce w latach 2005-2023 zostało wyjaśnione przez oszacowaną liniową funkcję trendu. Model przyzwoicie opisuje całkowitą zmienność produkcji.</t>
  </si>
  <si>
    <t>Na poziomie alfa = 0,05 oba parametry są statystycznie istotne</t>
  </si>
  <si>
    <t xml:space="preserve">Prognozowama wartość produkcji sprzedanej przemysłu ogółem w Polsce na rok 2024 wyniesie 2212144 mln. zł.  </t>
  </si>
  <si>
    <t xml:space="preserve">Prognozowama wartość produkcji sprzedanej przemysłu ogółem w Polsce na rok 2025 wyniesie 2298708 mln. zł.  </t>
  </si>
  <si>
    <t>Teoretyczna prognozowana wartość produkcji sprzedanej przemysłu ogółem w Polsce na rok 2024  może się różnić od wartości rzeczywistych średnio o około 227912 mln. zł.</t>
  </si>
  <si>
    <t>Teoretyczna prognozowana wartość produkcji sprzedanej przemysłu ogółem w Polsce na rok 2025  może się różnić od wartości rzeczywistych średnio o około 227792 mln. zł.</t>
  </si>
  <si>
    <t>Szacowana różnica pomiędzy prognozowana a rzeczywistą wartością produkcji sprzedanej przemysłu ogółem w Polsce na rok 2024 stanowi 10,30 % wartości prognozy punktowej. Prognoza nie jest dopuszczalna (V_SDT&gt;10%)</t>
  </si>
  <si>
    <t>Szacowana różnica pomiędzy prognozowana a rzeczywistą wartością produkcji sprzedanej przemysłu ogółem w Polsce na rok 2025 stanowi 9,91 % wartości prognozy punktowej. Prognoza  jest dopuszczalna (V_SDT&lt;10%)</t>
  </si>
  <si>
    <t>Interpretacja współczynników w modelu</t>
  </si>
  <si>
    <t>Teoretyczna wartośc produkcji przemysłu sprzedanego ogółem w Polsce w roku 2004 wynosiła 480863 mln. zł.</t>
  </si>
  <si>
    <t>Teoretyczna wartość produkcji przemysłu sprzedanego ogółem w Polsce w latach 2005-2023 rosła przeciętnie z roku na rok o około 86564,06 mln. zł.</t>
  </si>
  <si>
    <t>brak</t>
  </si>
  <si>
    <t>Jeśli jednostka czasu obejmującego czas produkcji przemysłowej wzrosnie o 1% to wartość produkcji ogółem w Polsce wzrośnie o 0,40 %</t>
  </si>
  <si>
    <t>80,29% całkowitej zmienności wartości produkcji sprzedanej przemysłu ogółem w Polsce w latach 2005-2023 zostało wyjaśnione przez oszacowaną potengową funkcję trendu. Model przyzwoicie opisuje całkowitą zmienność produkcji.</t>
  </si>
  <si>
    <t xml:space="preserve">Prognozowama wartość produkcji sprzedanej przemysłu ogółem w Polsce na rok 2024 wyniesie 1832359 mln. zł.  </t>
  </si>
  <si>
    <t xml:space="preserve">Prognozowama wartość produkcji sprzedanej przemysłu ogółem w Polsce na rok 2025 wyniesie 1868789 mln. zł.  </t>
  </si>
  <si>
    <t>Teoretyczna prognozowana wartość produkcji sprzedanej przemysłu ogółem w Polsce na rok 2024  może się różnić od wartości rzeczywistych średnio o około 0,18 mln. zł.</t>
  </si>
  <si>
    <t>ln(yt) = ln(a0) + a1 * ln(t)</t>
  </si>
  <si>
    <t>?</t>
  </si>
  <si>
    <t>Teoretyczna wartośc produkcji przemysłu sprzedanego ogółem w Polsce w roku 2005 wynosiła 673348,5 mln. zł.</t>
  </si>
  <si>
    <t>94,40% całkowitej zmienności wartości produkcji sprzedanej przemysłu ogółem w Polsce w latach 2005-2023 zostało wyjaśnione przez oszacowaną wykładniczą funkcję trendu. Model bardzo dobrze opisuje całkowitą zmienność produkcji.</t>
  </si>
  <si>
    <t xml:space="preserve">Prognozowama wartość produkcji sprzedanej przemysłu ogółem w Polsce na rok 2024 wyniesie 2363315,121 mln. zł.  </t>
  </si>
  <si>
    <t xml:space="preserve">Prognozowama wartość produkcji sprzedanej przemysłu ogółem w Polsce na rok 2025 wyniesie 2516435 mln. zł.  </t>
  </si>
  <si>
    <t>Teoretyczna prognozowana wartość produkcji sprzedanej przemysłu ogółem w Polsce na rok 2024  może się różnić od wartości rzeczywistych średnio o około 0,098 mln. zł.</t>
  </si>
  <si>
    <t>Teoretyczna prognozowana wartość produkcji sprzedanej przemysłu ogółem w Polsce na rok 2025  może się różnić od wartości rzeczywistych średnio o około 0,099 mln. zł.</t>
  </si>
  <si>
    <t>Teoretyczna wartośc produkcji przemysłu sprzedanego ogółem w Polsce w roku 2005 wynosiła 476571 mln. zł.</t>
  </si>
  <si>
    <t>Teorytyczna wartość produkcji sprzedanej przemysłu ogółem w Polsce w latach 2005-2023 różniła się od wartości rzeczywistych średnio o około 101 922,53 mln. zł.</t>
  </si>
  <si>
    <t>Przeciętnie różnica między teorytyczną a rzeczywistą wartością produkcji sprzedanej przemysłu ogółem w Polsce w latach 2005-2023 stanowiła około 7,57% średniej wielkości badanej zmiennej. Wartośc jest mniejsza od 10% co oznacza że model jest dobrze dopasowany do danych.</t>
  </si>
  <si>
    <t>96,91% całkowitej zmienności wartości produkcji sprzedanej przemysłu ogółem w Polsce w latach 2005-2023 zostało wyjaśnione przez oszacowaną wielomianową funkcję trendu. Model bardzo dobrze opisuje całkowitą zmienność produkcji.</t>
  </si>
  <si>
    <t xml:space="preserve">Prognozowama wartość produkcji sprzedanej przemysłu ogółem w Polsce na rok 2024 wyniesie 2981084 mln. zł.  </t>
  </si>
  <si>
    <t xml:space="preserve">Prognozowama wartość produkcji sprzedanej przemysłu ogółem w Polsce na rok 2025 wyniesie 3414316 mln. zł.  </t>
  </si>
  <si>
    <t>Teoretyczna prognozowana wartość produkcji sprzedanej przemysłu ogółem w Polsce na rok 2024  może się różnić od wartości rzeczywistych średnio o około 154053,86 mln. zł.</t>
  </si>
  <si>
    <t>Szacowana różnica pomiędzy prognozowana a rzeczywistą wartością produkcji sprzedanej przemysłu ogółem w Polsce na rok 2024 stanowi 5,17 % wartości prognozy punktowej. Prognoza  jest dopuszczalna (V_SDT&lt;10%)</t>
  </si>
  <si>
    <t>Teoretyczna prognozowana wartość produkcji sprzedanej przemysłu ogółem w Polsce na rok 2024  może się różnić od wartości rzeczywistych średnio o około 194864,4 mln. zł.</t>
  </si>
  <si>
    <t>Szacowana różnica pomiędzy prognozowana a rzeczywistą wartością produkcji sprzedanej przemysłu ogółem w Polsce na rok 2024 stanowi 5,71% wartości prognozy punktowej. Prognoza  jest dopuszczalna (V_SDT&lt;10%)</t>
  </si>
  <si>
    <t>Przeciętnie różnica między teorytyczną a rzeczywistą wartością produkcji sprzedanej przemysłu ogółem w Polsce w latach 2005-2023 stanowiła około 10,66% średniej wielkości badanej zmiennej. Wartośc jest większa od 10% co oznacza że model jest źle dopasowany do danych.</t>
  </si>
  <si>
    <t>Teorytyczna wartość produkcji sprzedanej przemysłu ogółem w Polsce w latach 2005-2023 różniła się od wartości rzeczywistych średnio o około 147 432 mln. zł.</t>
  </si>
  <si>
    <t>Prognozowana wartość produkcji sprzedanej przemysłu ogółem w Polsce w 2025 r. wynosi 3118929 mln zł.</t>
  </si>
  <si>
    <t>Prognozowana wartość produkcji sprzedanej przemysłu ogółem w Polsce w 2024 r. wynosi 2644990 mln. zł.</t>
  </si>
  <si>
    <t>Teorytyczna wartość produkcji sprzedanej przemysłu ogółem w Polsce w latach 2005-2023 różniła się od wartości rzeczywistych średnio o około 152 391 mln. zł.</t>
  </si>
  <si>
    <t>Przeciętnie różnica między teorytyczną a rzeczywistą wartością produkcji sprzedanej przemysłu ogółem w Polsce w latach 2005-2023 stanowiła około 11,02% średniej wielkości badanej zmiennej. Wartośc jest większa od 10% co oznacza że model jest źle dopasowany do danych.</t>
  </si>
  <si>
    <t>PROGNOZA</t>
  </si>
  <si>
    <t>Szacowana różnica pomiędzy prognozowana a rzeczywistą wartością produkcji sprzedanej przemysłu ogółem w Polsce na rok 2024 stanowi 17,62 % wartości prognozy punktowej. Prognoza  jest nie dopuszczalna (V_SDT&gt;10%)</t>
  </si>
  <si>
    <t>Szacowana różnica pomiędzy prognozowana a rzeczywistą wartością produkcji sprzedanej przemysłu ogółem w Polsce na rok 2024 stanowi 17,68 % wartości prognozy punktowej. Prognoza  jest nie dopuszczalna (V_SDT&gt;10%)</t>
  </si>
  <si>
    <t>Szacowana różnica pomiędzy prognozowana a rzeczywistą wartością produkcji sprzedanej przemysłu ogółem w Polsce na rok 2024 stanowi 9,81 % wartości prognozy punktowej. Prognoza  jest dopuszczalna (V_SDT&lt;10%)</t>
  </si>
  <si>
    <t>Szacowana różnica pomiędzy prognozowana a rzeczywistą wartością produkcji sprzedanej przemysłu ogółem w Polsce na rok 2025 stanowi 9,96 % wartości prognozy punktowej. Prognoza  jest dopuszczalna (V_SDT&lt;10%)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</si>
</sst>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name val="Calibri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sz val="12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19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0" fontId="0" fillId="3" borderId="0" xfId="0" applyFill="1"/>
    <xf numFmtId="10" fontId="0" fillId="0" borderId="0" xfId="0" applyNumberFormat="1"/>
    <xf numFmtId="164" fontId="0" fillId="4" borderId="0" xfId="0" applyNumberFormat="1" applyFill="1"/>
    <xf numFmtId="164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8" borderId="0" xfId="0" applyFill="1"/>
    <xf numFmtId="0" fontId="3" fillId="0" borderId="0" xfId="0" applyFont="1"/>
    <xf numFmtId="0" fontId="2" fillId="0" borderId="0" xfId="0" applyFont="1"/>
    <xf numFmtId="0" fontId="1" fillId="2" borderId="1" xfId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TABLICA!$F$3:$X$3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f>TABLICA!$F$5:$X$5</c:f>
              <c:numCache>
                <c:formatCode>#\ ##0.0</c:formatCode>
                <c:ptCount val="19"/>
                <c:pt idx="0">
                  <c:v>687810.1</c:v>
                </c:pt>
                <c:pt idx="1">
                  <c:v>775521.5</c:v>
                </c:pt>
                <c:pt idx="2">
                  <c:v>873470.7</c:v>
                </c:pt>
                <c:pt idx="3">
                  <c:v>918281.9</c:v>
                </c:pt>
                <c:pt idx="4">
                  <c:v>896379.8</c:v>
                </c:pt>
                <c:pt idx="5">
                  <c:v>985715.9</c:v>
                </c:pt>
                <c:pt idx="6">
                  <c:v>1137372.8</c:v>
                </c:pt>
                <c:pt idx="7">
                  <c:v>1178303.6000000001</c:v>
                </c:pt>
                <c:pt idx="8">
                  <c:v>1182963.8999999999</c:v>
                </c:pt>
                <c:pt idx="9">
                  <c:v>1210038.6000000001</c:v>
                </c:pt>
                <c:pt idx="10">
                  <c:v>1255515.6000000001</c:v>
                </c:pt>
                <c:pt idx="11">
                  <c:v>1301911.8</c:v>
                </c:pt>
                <c:pt idx="12">
                  <c:v>1417247.1</c:v>
                </c:pt>
                <c:pt idx="13">
                  <c:v>1520836.1</c:v>
                </c:pt>
                <c:pt idx="14">
                  <c:v>1615202.7</c:v>
                </c:pt>
                <c:pt idx="15">
                  <c:v>1579859.6</c:v>
                </c:pt>
                <c:pt idx="16">
                  <c:v>1947571</c:v>
                </c:pt>
                <c:pt idx="17">
                  <c:v>2542289.4</c:v>
                </c:pt>
                <c:pt idx="18">
                  <c:v>2557278.2999999998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D-4100-B4B8-10E5104AB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970591"/>
        <c:axId val="2059976351"/>
      </c:lineChart>
      <c:catAx>
        <c:axId val="205997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9976351"/>
        <c:crosses val="autoZero"/>
        <c:auto val="1"/>
        <c:lblAlgn val="ctr"/>
        <c:lblOffset val="100"/>
        <c:noMultiLvlLbl val="0"/>
      </c:catAx>
      <c:valAx>
        <c:axId val="20599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997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liniowa!$E$2:$E$22</c:f>
              <c:numCache>
                <c:formatCode>General</c:formatCode>
                <c:ptCount val="21"/>
                <c:pt idx="0">
                  <c:v>567427.20631578984</c:v>
                </c:pt>
                <c:pt idx="1">
                  <c:v>653991.26175438636</c:v>
                </c:pt>
                <c:pt idx="2">
                  <c:v>740555.31719298288</c:v>
                </c:pt>
                <c:pt idx="3">
                  <c:v>827119.37263157929</c:v>
                </c:pt>
                <c:pt idx="4">
                  <c:v>913683.42807017569</c:v>
                </c:pt>
                <c:pt idx="5">
                  <c:v>1000247.4835087722</c:v>
                </c:pt>
                <c:pt idx="6">
                  <c:v>1086811.5389473685</c:v>
                </c:pt>
                <c:pt idx="7">
                  <c:v>1173375.5943859653</c:v>
                </c:pt>
                <c:pt idx="8">
                  <c:v>1259939.6498245616</c:v>
                </c:pt>
                <c:pt idx="9">
                  <c:v>1346503.7052631581</c:v>
                </c:pt>
                <c:pt idx="10">
                  <c:v>1433067.7607017546</c:v>
                </c:pt>
                <c:pt idx="11">
                  <c:v>1519631.8161403509</c:v>
                </c:pt>
                <c:pt idx="12">
                  <c:v>1606195.8715789476</c:v>
                </c:pt>
                <c:pt idx="13">
                  <c:v>1692759.9270175439</c:v>
                </c:pt>
                <c:pt idx="14">
                  <c:v>1779323.9824561402</c:v>
                </c:pt>
                <c:pt idx="15">
                  <c:v>1865888.037894737</c:v>
                </c:pt>
                <c:pt idx="16">
                  <c:v>1952452.0933333333</c:v>
                </c:pt>
                <c:pt idx="17">
                  <c:v>2039016.14877193</c:v>
                </c:pt>
                <c:pt idx="18">
                  <c:v>2125580.2042105263</c:v>
                </c:pt>
                <c:pt idx="19">
                  <c:v>2212144.2596491226</c:v>
                </c:pt>
                <c:pt idx="20">
                  <c:v>2298708.3150877194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A-4DC1-8AFA-16337F56860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liniowa!$B$2:$B$20</c:f>
              <c:numCache>
                <c:formatCode>#\ ##0.0</c:formatCode>
                <c:ptCount val="19"/>
                <c:pt idx="0">
                  <c:v>687810.1</c:v>
                </c:pt>
                <c:pt idx="1">
                  <c:v>775521.5</c:v>
                </c:pt>
                <c:pt idx="2">
                  <c:v>873470.7</c:v>
                </c:pt>
                <c:pt idx="3">
                  <c:v>918281.9</c:v>
                </c:pt>
                <c:pt idx="4">
                  <c:v>896379.8</c:v>
                </c:pt>
                <c:pt idx="5">
                  <c:v>985715.9</c:v>
                </c:pt>
                <c:pt idx="6">
                  <c:v>1137372.8</c:v>
                </c:pt>
                <c:pt idx="7">
                  <c:v>1178303.6000000001</c:v>
                </c:pt>
                <c:pt idx="8">
                  <c:v>1182963.8999999999</c:v>
                </c:pt>
                <c:pt idx="9">
                  <c:v>1210038.6000000001</c:v>
                </c:pt>
                <c:pt idx="10">
                  <c:v>1255515.6000000001</c:v>
                </c:pt>
                <c:pt idx="11">
                  <c:v>1301911.8</c:v>
                </c:pt>
                <c:pt idx="12">
                  <c:v>1417247.1</c:v>
                </c:pt>
                <c:pt idx="13">
                  <c:v>1520836.1</c:v>
                </c:pt>
                <c:pt idx="14">
                  <c:v>1615202.7</c:v>
                </c:pt>
                <c:pt idx="15">
                  <c:v>1579859.6</c:v>
                </c:pt>
                <c:pt idx="16">
                  <c:v>1947571</c:v>
                </c:pt>
                <c:pt idx="17">
                  <c:v>2542289.4</c:v>
                </c:pt>
                <c:pt idx="18">
                  <c:v>2557278.2999999998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A-4DC1-8AFA-16337F568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334639"/>
        <c:axId val="2066335119"/>
      </c:lineChart>
      <c:catAx>
        <c:axId val="206633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6335119"/>
        <c:crosses val="autoZero"/>
        <c:auto val="1"/>
        <c:lblAlgn val="ctr"/>
        <c:lblOffset val="100"/>
        <c:noMultiLvlLbl val="0"/>
      </c:catAx>
      <c:valAx>
        <c:axId val="20663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633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potęgowa!$H$2:$H$22</c:f>
              <c:numCache>
                <c:formatCode>General</c:formatCode>
                <c:ptCount val="21"/>
                <c:pt idx="0">
                  <c:v>547082.26785312581</c:v>
                </c:pt>
                <c:pt idx="1">
                  <c:v>723629.83139010891</c:v>
                </c:pt>
                <c:pt idx="2">
                  <c:v>852252.42220141739</c:v>
                </c:pt>
                <c:pt idx="3">
                  <c:v>957150.62184808229</c:v>
                </c:pt>
                <c:pt idx="4">
                  <c:v>1047328.4551891579</c:v>
                </c:pt>
                <c:pt idx="5">
                  <c:v>1127280.6903421555</c:v>
                </c:pt>
                <c:pt idx="6">
                  <c:v>1199622.7733245343</c:v>
                </c:pt>
                <c:pt idx="7">
                  <c:v>1266030.3281641235</c:v>
                </c:pt>
                <c:pt idx="8">
                  <c:v>1327650.7644791382</c:v>
                </c:pt>
                <c:pt idx="9">
                  <c:v>1385309.226732349</c:v>
                </c:pt>
                <c:pt idx="10">
                  <c:v>1439621.8532878913</c:v>
                </c:pt>
                <c:pt idx="11">
                  <c:v>1491062.6496500126</c:v>
                </c:pt>
                <c:pt idx="12">
                  <c:v>1540005.2304229508</c:v>
                </c:pt>
                <c:pt idx="13">
                  <c:v>1586750.0670404115</c:v>
                </c:pt>
                <c:pt idx="14">
                  <c:v>1631542.9419384142</c:v>
                </c:pt>
                <c:pt idx="15">
                  <c:v>1674587.8394108778</c:v>
                </c:pt>
                <c:pt idx="16">
                  <c:v>1716056.1903344805</c:v>
                </c:pt>
                <c:pt idx="17">
                  <c:v>1756093.6540953889</c:v>
                </c:pt>
                <c:pt idx="18">
                  <c:v>1794825.1930468259</c:v>
                </c:pt>
                <c:pt idx="19">
                  <c:v>1832358.9358824184</c:v>
                </c:pt>
                <c:pt idx="20">
                  <c:v>1868789.1645727644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B-4E54-92C4-2F9774EC7F4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potęgowa!$B$2:$B$20</c:f>
              <c:numCache>
                <c:formatCode>#\ ##0.0</c:formatCode>
                <c:ptCount val="19"/>
                <c:pt idx="0">
                  <c:v>687810.1</c:v>
                </c:pt>
                <c:pt idx="1">
                  <c:v>775521.5</c:v>
                </c:pt>
                <c:pt idx="2">
                  <c:v>873470.7</c:v>
                </c:pt>
                <c:pt idx="3">
                  <c:v>918281.9</c:v>
                </c:pt>
                <c:pt idx="4">
                  <c:v>896379.8</c:v>
                </c:pt>
                <c:pt idx="5">
                  <c:v>985715.9</c:v>
                </c:pt>
                <c:pt idx="6">
                  <c:v>1137372.8</c:v>
                </c:pt>
                <c:pt idx="7">
                  <c:v>1178303.6000000001</c:v>
                </c:pt>
                <c:pt idx="8">
                  <c:v>1182963.8999999999</c:v>
                </c:pt>
                <c:pt idx="9">
                  <c:v>1210038.6000000001</c:v>
                </c:pt>
                <c:pt idx="10">
                  <c:v>1255515.6000000001</c:v>
                </c:pt>
                <c:pt idx="11">
                  <c:v>1301911.8</c:v>
                </c:pt>
                <c:pt idx="12">
                  <c:v>1417247.1</c:v>
                </c:pt>
                <c:pt idx="13">
                  <c:v>1520836.1</c:v>
                </c:pt>
                <c:pt idx="14">
                  <c:v>1615202.7</c:v>
                </c:pt>
                <c:pt idx="15">
                  <c:v>1579859.6</c:v>
                </c:pt>
                <c:pt idx="16">
                  <c:v>1947571</c:v>
                </c:pt>
                <c:pt idx="17">
                  <c:v>2542289.4</c:v>
                </c:pt>
                <c:pt idx="18">
                  <c:v>2557278.2999999998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DB-4E54-92C4-2F9774EC7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723567"/>
        <c:axId val="301710127"/>
      </c:scatterChart>
      <c:valAx>
        <c:axId val="301723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710127"/>
        <c:crosses val="autoZero"/>
        <c:crossBetween val="midCat"/>
      </c:valAx>
      <c:valAx>
        <c:axId val="30171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72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wykładnicza!$G$2:$G$22</c:f>
              <c:numCache>
                <c:formatCode>General</c:formatCode>
                <c:ptCount val="21"/>
                <c:pt idx="0">
                  <c:v>716974.9967556973</c:v>
                </c:pt>
                <c:pt idx="1">
                  <c:v>763428.02058657887</c:v>
                </c:pt>
                <c:pt idx="2">
                  <c:v>812890.74968305102</c:v>
                </c:pt>
                <c:pt idx="3">
                  <c:v>865558.18374671834</c:v>
                </c:pt>
                <c:pt idx="4">
                  <c:v>921637.95656800305</c:v>
                </c:pt>
                <c:pt idx="5">
                  <c:v>981351.1545925173</c:v>
                </c:pt>
                <c:pt idx="6">
                  <c:v>1044933.1885226106</c:v>
                </c:pt>
                <c:pt idx="7">
                  <c:v>1112634.7213902338</c:v>
                </c:pt>
                <c:pt idx="8">
                  <c:v>1184722.6567599194</c:v>
                </c:pt>
                <c:pt idx="9">
                  <c:v>1261481.190957739</c:v>
                </c:pt>
                <c:pt idx="10">
                  <c:v>1343212.9334744671</c:v>
                </c:pt>
                <c:pt idx="11">
                  <c:v>1430240.0999600212</c:v>
                </c:pt>
                <c:pt idx="12">
                  <c:v>1522905.7825123568</c:v>
                </c:pt>
                <c:pt idx="13">
                  <c:v>1621575.3022687605</c:v>
                </c:pt>
                <c:pt idx="14">
                  <c:v>1726637.6496319375</c:v>
                </c:pt>
                <c:pt idx="15">
                  <c:v>1838507.0178087712</c:v>
                </c:pt>
                <c:pt idx="16">
                  <c:v>1957624.4357075358</c:v>
                </c:pt>
                <c:pt idx="17">
                  <c:v>2084459.5066309704</c:v>
                </c:pt>
                <c:pt idx="18">
                  <c:v>2219512.2596198306</c:v>
                </c:pt>
                <c:pt idx="19">
                  <c:v>2363315.1207455234</c:v>
                </c:pt>
                <c:pt idx="20">
                  <c:v>2516435.0121233799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F-4542-AC2E-033CC179806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wykładnicza!$B$2:$B$20</c:f>
              <c:numCache>
                <c:formatCode>#\ ##0.0</c:formatCode>
                <c:ptCount val="19"/>
                <c:pt idx="0">
                  <c:v>687810.1</c:v>
                </c:pt>
                <c:pt idx="1">
                  <c:v>775521.5</c:v>
                </c:pt>
                <c:pt idx="2">
                  <c:v>873470.7</c:v>
                </c:pt>
                <c:pt idx="3">
                  <c:v>918281.9</c:v>
                </c:pt>
                <c:pt idx="4">
                  <c:v>896379.8</c:v>
                </c:pt>
                <c:pt idx="5">
                  <c:v>985715.9</c:v>
                </c:pt>
                <c:pt idx="6">
                  <c:v>1137372.8</c:v>
                </c:pt>
                <c:pt idx="7">
                  <c:v>1178303.6000000001</c:v>
                </c:pt>
                <c:pt idx="8">
                  <c:v>1182963.8999999999</c:v>
                </c:pt>
                <c:pt idx="9">
                  <c:v>1210038.6000000001</c:v>
                </c:pt>
                <c:pt idx="10">
                  <c:v>1255515.6000000001</c:v>
                </c:pt>
                <c:pt idx="11">
                  <c:v>1301911.8</c:v>
                </c:pt>
                <c:pt idx="12">
                  <c:v>1417247.1</c:v>
                </c:pt>
                <c:pt idx="13">
                  <c:v>1520836.1</c:v>
                </c:pt>
                <c:pt idx="14">
                  <c:v>1615202.7</c:v>
                </c:pt>
                <c:pt idx="15">
                  <c:v>1579859.6</c:v>
                </c:pt>
                <c:pt idx="16">
                  <c:v>1947571</c:v>
                </c:pt>
                <c:pt idx="17">
                  <c:v>2542289.4</c:v>
                </c:pt>
                <c:pt idx="18">
                  <c:v>2557278.2999999998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F-4542-AC2E-033CC1798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720207"/>
        <c:axId val="301718767"/>
      </c:lineChart>
      <c:catAx>
        <c:axId val="301720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718767"/>
        <c:crosses val="autoZero"/>
        <c:auto val="1"/>
        <c:lblAlgn val="ctr"/>
        <c:lblOffset val="100"/>
        <c:noMultiLvlLbl val="0"/>
      </c:catAx>
      <c:valAx>
        <c:axId val="3017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72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wielomianowy!$G$2:$G$22</c:f>
              <c:numCache>
                <c:formatCode>General</c:formatCode>
                <c:ptCount val="21"/>
                <c:pt idx="0">
                  <c:v>641121.17655502411</c:v>
                </c:pt>
                <c:pt idx="1">
                  <c:v>771406.041307815</c:v>
                </c:pt>
                <c:pt idx="2">
                  <c:v>872446.52870813408</c:v>
                </c:pt>
                <c:pt idx="3">
                  <c:v>949263.62890749588</c:v>
                </c:pt>
                <c:pt idx="4">
                  <c:v>1006878.332057416</c:v>
                </c:pt>
                <c:pt idx="5">
                  <c:v>1050311.6283094101</c:v>
                </c:pt>
                <c:pt idx="6">
                  <c:v>1084584.507814992</c:v>
                </c:pt>
                <c:pt idx="7">
                  <c:v>1114717.9607256779</c:v>
                </c:pt>
                <c:pt idx="8">
                  <c:v>1145732.9771929826</c:v>
                </c:pt>
                <c:pt idx="9">
                  <c:v>1182650.5473684208</c:v>
                </c:pt>
                <c:pt idx="10">
                  <c:v>1230491.6614035086</c:v>
                </c:pt>
                <c:pt idx="11">
                  <c:v>1294277.3094497612</c:v>
                </c:pt>
                <c:pt idx="12">
                  <c:v>1379028.4816586925</c:v>
                </c:pt>
                <c:pt idx="13">
                  <c:v>1489766.1681818184</c:v>
                </c:pt>
                <c:pt idx="14">
                  <c:v>1631511.3591706548</c:v>
                </c:pt>
                <c:pt idx="15">
                  <c:v>1809285.0447767149</c:v>
                </c:pt>
                <c:pt idx="16">
                  <c:v>2028108.2151515153</c:v>
                </c:pt>
                <c:pt idx="17">
                  <c:v>2293001.8604465718</c:v>
                </c:pt>
                <c:pt idx="18">
                  <c:v>2608986.9708133978</c:v>
                </c:pt>
                <c:pt idx="19">
                  <c:v>2981084.5364035084</c:v>
                </c:pt>
                <c:pt idx="20">
                  <c:v>3414315.5473684203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E-43B8-A475-1328ABE5B24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wielomianowy!$B$2:$B$20</c:f>
              <c:numCache>
                <c:formatCode>#\ ##0.0</c:formatCode>
                <c:ptCount val="19"/>
                <c:pt idx="0">
                  <c:v>687810.1</c:v>
                </c:pt>
                <c:pt idx="1">
                  <c:v>775521.5</c:v>
                </c:pt>
                <c:pt idx="2">
                  <c:v>873470.7</c:v>
                </c:pt>
                <c:pt idx="3">
                  <c:v>918281.9</c:v>
                </c:pt>
                <c:pt idx="4">
                  <c:v>896379.8</c:v>
                </c:pt>
                <c:pt idx="5">
                  <c:v>985715.9</c:v>
                </c:pt>
                <c:pt idx="6">
                  <c:v>1137372.8</c:v>
                </c:pt>
                <c:pt idx="7">
                  <c:v>1178303.6000000001</c:v>
                </c:pt>
                <c:pt idx="8">
                  <c:v>1182963.8999999999</c:v>
                </c:pt>
                <c:pt idx="9">
                  <c:v>1210038.6000000001</c:v>
                </c:pt>
                <c:pt idx="10">
                  <c:v>1255515.6000000001</c:v>
                </c:pt>
                <c:pt idx="11">
                  <c:v>1301911.8</c:v>
                </c:pt>
                <c:pt idx="12">
                  <c:v>1417247.1</c:v>
                </c:pt>
                <c:pt idx="13">
                  <c:v>1520836.1</c:v>
                </c:pt>
                <c:pt idx="14">
                  <c:v>1615202.7</c:v>
                </c:pt>
                <c:pt idx="15">
                  <c:v>1579859.6</c:v>
                </c:pt>
                <c:pt idx="16">
                  <c:v>1947571</c:v>
                </c:pt>
                <c:pt idx="17">
                  <c:v>2542289.4</c:v>
                </c:pt>
                <c:pt idx="18">
                  <c:v>2557278.2999999998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E-43B8-A475-1328ABE5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713007"/>
        <c:axId val="301712047"/>
      </c:lineChart>
      <c:catAx>
        <c:axId val="301713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712047"/>
        <c:crosses val="autoZero"/>
        <c:auto val="1"/>
        <c:lblAlgn val="ctr"/>
        <c:lblOffset val="100"/>
        <c:noMultiLvlLbl val="0"/>
      </c:catAx>
      <c:valAx>
        <c:axId val="3017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171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606827</xdr:colOff>
      <xdr:row>7</xdr:row>
      <xdr:rowOff>10199</xdr:rowOff>
    </xdr:from>
    <xdr:to>
      <xdr:col>15</xdr:col>
      <xdr:colOff>738909</xdr:colOff>
      <xdr:row>29</xdr:row>
      <xdr:rowOff>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2674A87-B3BE-C457-72BF-AF572485C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515471</xdr:colOff>
      <xdr:row>23</xdr:row>
      <xdr:rowOff>62753</xdr:rowOff>
    </xdr:from>
    <xdr:to>
      <xdr:col>7</xdr:col>
      <xdr:colOff>302559</xdr:colOff>
      <xdr:row>38</xdr:row>
      <xdr:rowOff>116542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384CEA3-B142-CD34-068B-7DE912168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264102</xdr:colOff>
      <xdr:row>24</xdr:row>
      <xdr:rowOff>135082</xdr:rowOff>
    </xdr:from>
    <xdr:to>
      <xdr:col>7</xdr:col>
      <xdr:colOff>350693</xdr:colOff>
      <xdr:row>39</xdr:row>
      <xdr:rowOff>150669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EF88F8A-BF89-E984-DD94-2CE685414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80683</xdr:rowOff>
    </xdr:from>
    <xdr:to>
      <xdr:col>6</xdr:col>
      <xdr:colOff>286871</xdr:colOff>
      <xdr:row>37</xdr:row>
      <xdr:rowOff>62753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C4AB92C-F25E-F440-2E1B-178FBC008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300790</xdr:colOff>
      <xdr:row>25</xdr:row>
      <xdr:rowOff>112294</xdr:rowOff>
    </xdr:from>
    <xdr:to>
      <xdr:col>7</xdr:col>
      <xdr:colOff>280737</xdr:colOff>
      <xdr:row>40</xdr:row>
      <xdr:rowOff>148389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3DD87E2-9027-24C6-0F8A-F807416D7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515614</xdr:colOff>
      <xdr:row>13</xdr:row>
      <xdr:rowOff>43063</xdr:rowOff>
    </xdr:from>
    <xdr:to>
      <xdr:col>26</xdr:col>
      <xdr:colOff>379934</xdr:colOff>
      <xdr:row>37</xdr:row>
      <xdr:rowOff>118267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E6C2B62-FFC2-2DD3-AF4B-34D47EFBE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7573" y="2476798"/>
          <a:ext cx="4716239" cy="45538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388620</xdr:colOff>
          <xdr:row>11</xdr:row>
          <xdr:rowOff>30480</xdr:rowOff>
        </xdr:from>
        <xdr:to>
          <xdr:col>12</xdr:col>
          <xdr:colOff>137160</xdr:colOff>
          <xdr:row>14</xdr:row>
          <xdr:rowOff>22860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6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365760</xdr:colOff>
          <xdr:row>35</xdr:row>
          <xdr:rowOff>167640</xdr:rowOff>
        </xdr:from>
        <xdr:to>
          <xdr:col>16</xdr:col>
          <xdr:colOff>480060</xdr:colOff>
          <xdr:row>40</xdr:row>
          <xdr:rowOff>144780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15</xdr:row>
          <xdr:rowOff>76200</xdr:rowOff>
        </xdr:from>
        <xdr:to>
          <xdr:col>14</xdr:col>
          <xdr:colOff>556260</xdr:colOff>
          <xdr:row>19</xdr:row>
          <xdr:rowOff>175260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6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295751</xdr:colOff>
      <xdr:row>9</xdr:row>
      <xdr:rowOff>99060</xdr:rowOff>
    </xdr:from>
    <xdr:to>
      <xdr:col>31</xdr:col>
      <xdr:colOff>425787</xdr:colOff>
      <xdr:row>32</xdr:row>
      <xdr:rowOff>31395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9C46CE4-F117-1C3F-F69D-798BAF84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231" y="1760220"/>
          <a:ext cx="4397236" cy="41385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289560</xdr:colOff>
          <xdr:row>10</xdr:row>
          <xdr:rowOff>175260</xdr:rowOff>
        </xdr:from>
        <xdr:to>
          <xdr:col>12</xdr:col>
          <xdr:colOff>38100</xdr:colOff>
          <xdr:row>13</xdr:row>
          <xdr:rowOff>167640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7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15</xdr:row>
          <xdr:rowOff>38100</xdr:rowOff>
        </xdr:from>
        <xdr:to>
          <xdr:col>14</xdr:col>
          <xdr:colOff>480060</xdr:colOff>
          <xdr:row>19</xdr:row>
          <xdr:rowOff>137160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5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49.95" customHeight="1" x14ac:dyDescent="0.3">
      <c r="B2" s="3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ht="49.95" customHeight="1" x14ac:dyDescent="0.3">
      <c r="B6" s="3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ht="49.95" customHeight="1" x14ac:dyDescent="0.3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"/>
  <sheetViews>
    <sheetView topLeftCell="D6" zoomScale="110" zoomScaleNormal="70" workbookViewId="0">
      <selection activeCell="Q20" sqref="Q20"/>
    </sheetView>
  </sheetViews>
  <sheetFormatPr defaultRowHeight="14.4" x14ac:dyDescent="0.3"/>
  <cols>
    <col min="10" max="10" width="9.6640625" customWidth="1"/>
    <col min="12" max="12" width="10.21875" customWidth="1"/>
    <col min="13" max="13" width="11.109375" customWidth="1"/>
    <col min="14" max="14" width="11.21875" customWidth="1"/>
    <col min="15" max="15" width="10.77734375" customWidth="1"/>
    <col min="16" max="16" width="11.109375" customWidth="1"/>
    <col min="17" max="17" width="11.44140625" customWidth="1"/>
    <col min="18" max="18" width="11.5546875" customWidth="1"/>
    <col min="19" max="19" width="10.77734375" customWidth="1"/>
    <col min="20" max="20" width="11" customWidth="1"/>
    <col min="21" max="21" width="10.77734375" customWidth="1"/>
    <col min="22" max="22" width="11.33203125" customWidth="1"/>
    <col min="23" max="23" width="10.44140625" customWidth="1"/>
    <col min="24" max="24" width="10.88671875" customWidth="1"/>
  </cols>
  <sheetData>
    <row r="1" spans="1:24" x14ac:dyDescent="0.3">
      <c r="A1" s="16" t="s">
        <v>15</v>
      </c>
      <c r="B1" s="16" t="s">
        <v>16</v>
      </c>
      <c r="C1" s="16" t="s">
        <v>17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x14ac:dyDescent="0.3">
      <c r="A2" s="16"/>
      <c r="B2" s="16"/>
      <c r="C2" s="16" t="s">
        <v>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x14ac:dyDescent="0.3">
      <c r="A3" s="16"/>
      <c r="B3" s="16"/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37</v>
      </c>
      <c r="V3" s="1" t="s">
        <v>38</v>
      </c>
      <c r="W3" s="1" t="s">
        <v>39</v>
      </c>
      <c r="X3" s="1" t="s">
        <v>40</v>
      </c>
    </row>
    <row r="4" spans="1:24" x14ac:dyDescent="0.3">
      <c r="A4" s="16"/>
      <c r="B4" s="16"/>
      <c r="C4" s="1" t="s">
        <v>41</v>
      </c>
      <c r="D4" s="1" t="s">
        <v>41</v>
      </c>
      <c r="E4" s="1" t="s">
        <v>41</v>
      </c>
      <c r="F4" s="1" t="s">
        <v>41</v>
      </c>
      <c r="G4" s="1" t="s">
        <v>41</v>
      </c>
      <c r="H4" s="1" t="s">
        <v>41</v>
      </c>
      <c r="I4" s="1" t="s">
        <v>41</v>
      </c>
      <c r="J4" s="1" t="s">
        <v>41</v>
      </c>
      <c r="K4" s="1" t="s">
        <v>41</v>
      </c>
      <c r="L4" s="1" t="s">
        <v>41</v>
      </c>
      <c r="M4" s="1" t="s">
        <v>41</v>
      </c>
      <c r="N4" s="1" t="s">
        <v>41</v>
      </c>
      <c r="O4" s="1" t="s">
        <v>41</v>
      </c>
      <c r="P4" s="1" t="s">
        <v>41</v>
      </c>
      <c r="Q4" s="1" t="s">
        <v>41</v>
      </c>
      <c r="R4" s="1" t="s">
        <v>41</v>
      </c>
      <c r="S4" s="1" t="s">
        <v>41</v>
      </c>
      <c r="T4" s="1" t="s">
        <v>41</v>
      </c>
      <c r="U4" s="1" t="s">
        <v>41</v>
      </c>
      <c r="V4" s="1" t="s">
        <v>41</v>
      </c>
      <c r="W4" s="1" t="s">
        <v>41</v>
      </c>
      <c r="X4" s="1" t="s">
        <v>41</v>
      </c>
    </row>
    <row r="5" spans="1:24" x14ac:dyDescent="0.3">
      <c r="A5" t="s">
        <v>42</v>
      </c>
      <c r="B5" t="s">
        <v>43</v>
      </c>
      <c r="C5" t="s">
        <v>5</v>
      </c>
      <c r="D5" t="s">
        <v>5</v>
      </c>
      <c r="E5" t="s">
        <v>5</v>
      </c>
      <c r="F5" s="4">
        <v>687810.1</v>
      </c>
      <c r="G5" s="4">
        <v>775521.5</v>
      </c>
      <c r="H5" s="4">
        <v>873470.7</v>
      </c>
      <c r="I5" s="4">
        <v>918281.9</v>
      </c>
      <c r="J5" s="4">
        <v>896379.8</v>
      </c>
      <c r="K5" s="4">
        <v>985715.9</v>
      </c>
      <c r="L5" s="4">
        <v>1137372.8</v>
      </c>
      <c r="M5" s="4">
        <v>1178303.6000000001</v>
      </c>
      <c r="N5" s="4">
        <v>1182963.8999999999</v>
      </c>
      <c r="O5" s="4">
        <v>1210038.6000000001</v>
      </c>
      <c r="P5" s="4">
        <v>1255515.6000000001</v>
      </c>
      <c r="Q5" s="4">
        <v>1301911.8</v>
      </c>
      <c r="R5" s="4">
        <v>1417247.1</v>
      </c>
      <c r="S5" s="4">
        <v>1520836.1</v>
      </c>
      <c r="T5" s="4">
        <v>1615202.7</v>
      </c>
      <c r="U5" s="4">
        <v>1579859.6</v>
      </c>
      <c r="V5" s="4">
        <v>1947571</v>
      </c>
      <c r="W5" s="4">
        <v>2542289.4</v>
      </c>
      <c r="X5" s="4">
        <v>2557278.2999999998</v>
      </c>
    </row>
  </sheetData>
  <mergeCells count="4">
    <mergeCell ref="A1:A4"/>
    <mergeCell ref="B1:B4"/>
    <mergeCell ref="C1:X1"/>
    <mergeCell ref="C2:X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AF36-B471-485C-80C4-4CC7A5B52756}">
  <dimension ref="A1:U36"/>
  <sheetViews>
    <sheetView tabSelected="1" topLeftCell="B14" zoomScale="61" zoomScaleNormal="40" workbookViewId="0">
      <selection activeCell="I58" sqref="I58"/>
    </sheetView>
  </sheetViews>
  <sheetFormatPr defaultRowHeight="14.4" x14ac:dyDescent="0.3"/>
  <cols>
    <col min="1" max="1" width="9.109375" bestFit="1" customWidth="1"/>
    <col min="2" max="2" width="12.33203125" customWidth="1"/>
    <col min="3" max="4" width="9.109375" bestFit="1" customWidth="1"/>
    <col min="5" max="5" width="12.109375" bestFit="1" customWidth="1"/>
    <col min="6" max="7" width="9" bestFit="1" customWidth="1"/>
    <col min="8" max="8" width="14.6640625" customWidth="1"/>
    <col min="9" max="9" width="30.33203125" bestFit="1" customWidth="1"/>
    <col min="10" max="10" width="11.5546875" bestFit="1" customWidth="1"/>
    <col min="11" max="11" width="17.33203125" customWidth="1"/>
    <col min="12" max="12" width="14.33203125" customWidth="1"/>
    <col min="13" max="13" width="10" bestFit="1" customWidth="1"/>
    <col min="14" max="14" width="30.21875" customWidth="1"/>
    <col min="15" max="15" width="25" customWidth="1"/>
    <col min="16" max="16" width="9.109375" bestFit="1" customWidth="1"/>
    <col min="17" max="17" width="9" bestFit="1" customWidth="1"/>
    <col min="20" max="20" width="48.6640625" customWidth="1"/>
    <col min="21" max="21" width="22" customWidth="1"/>
  </cols>
  <sheetData>
    <row r="1" spans="1:14" x14ac:dyDescent="0.3">
      <c r="A1" t="s">
        <v>44</v>
      </c>
      <c r="B1" t="s">
        <v>45</v>
      </c>
      <c r="C1" t="s">
        <v>48</v>
      </c>
      <c r="D1" t="s">
        <v>47</v>
      </c>
      <c r="E1" s="15" t="s">
        <v>157</v>
      </c>
      <c r="F1" t="s">
        <v>110</v>
      </c>
    </row>
    <row r="2" spans="1:14" x14ac:dyDescent="0.3">
      <c r="A2" s="1" t="s">
        <v>22</v>
      </c>
      <c r="B2" s="4">
        <v>687810.1</v>
      </c>
      <c r="C2">
        <v>1</v>
      </c>
      <c r="D2">
        <v>1</v>
      </c>
      <c r="E2">
        <f>$K$2+$J$2*D2</f>
        <v>567427.20631578984</v>
      </c>
      <c r="F2" t="s">
        <v>76</v>
      </c>
      <c r="I2" t="s">
        <v>51</v>
      </c>
      <c r="J2" cm="1">
        <f t="array" ref="J2:K6">LINEST(B2:B20,D2:D20,1,1)</f>
        <v>86564.055438596464</v>
      </c>
      <c r="K2">
        <v>480863.15087719343</v>
      </c>
      <c r="L2" t="s">
        <v>77</v>
      </c>
      <c r="M2" t="s">
        <v>124</v>
      </c>
    </row>
    <row r="3" spans="1:14" x14ac:dyDescent="0.3">
      <c r="A3" s="1" t="s">
        <v>23</v>
      </c>
      <c r="B3" s="4">
        <v>775521.5</v>
      </c>
      <c r="C3">
        <v>1</v>
      </c>
      <c r="D3">
        <v>2</v>
      </c>
      <c r="E3">
        <f t="shared" ref="E3:E22" si="0">$K$2+$J$2*D3</f>
        <v>653991.26175438636</v>
      </c>
      <c r="I3" t="s">
        <v>52</v>
      </c>
      <c r="J3">
        <v>8945.9064666229478</v>
      </c>
      <c r="K3">
        <v>101999.02708478946</v>
      </c>
      <c r="L3" t="s">
        <v>78</v>
      </c>
      <c r="M3" t="s">
        <v>77</v>
      </c>
      <c r="N3" t="s">
        <v>125</v>
      </c>
    </row>
    <row r="4" spans="1:14" x14ac:dyDescent="0.3">
      <c r="A4" s="1" t="s">
        <v>24</v>
      </c>
      <c r="B4" s="4">
        <v>873470.7</v>
      </c>
      <c r="C4">
        <v>1</v>
      </c>
      <c r="D4">
        <v>3</v>
      </c>
      <c r="E4">
        <f t="shared" si="0"/>
        <v>740555.31719298288</v>
      </c>
      <c r="I4" t="s">
        <v>50</v>
      </c>
      <c r="J4" s="5">
        <v>0.84633806049445159</v>
      </c>
      <c r="K4">
        <v>213580.58954514752</v>
      </c>
      <c r="L4" t="s">
        <v>55</v>
      </c>
      <c r="M4" t="s">
        <v>51</v>
      </c>
      <c r="N4" t="s">
        <v>126</v>
      </c>
    </row>
    <row r="5" spans="1:14" x14ac:dyDescent="0.3">
      <c r="A5" s="1" t="s">
        <v>25</v>
      </c>
      <c r="B5" s="4">
        <v>918281.9</v>
      </c>
      <c r="C5">
        <v>1</v>
      </c>
      <c r="D5">
        <v>4</v>
      </c>
      <c r="E5">
        <f t="shared" si="0"/>
        <v>827119.37263157929</v>
      </c>
      <c r="J5">
        <v>93.632470569500796</v>
      </c>
      <c r="K5">
        <v>17</v>
      </c>
      <c r="L5" t="s">
        <v>56</v>
      </c>
    </row>
    <row r="6" spans="1:14" x14ac:dyDescent="0.3">
      <c r="A6" s="1" t="s">
        <v>26</v>
      </c>
      <c r="B6" s="4">
        <v>896379.8</v>
      </c>
      <c r="C6">
        <v>1</v>
      </c>
      <c r="D6">
        <v>5</v>
      </c>
      <c r="E6">
        <f t="shared" si="0"/>
        <v>913683.42807017569</v>
      </c>
      <c r="J6">
        <v>4271201345566.5518</v>
      </c>
      <c r="K6">
        <v>775483359917.69727</v>
      </c>
    </row>
    <row r="7" spans="1:14" x14ac:dyDescent="0.3">
      <c r="A7" s="1" t="s">
        <v>27</v>
      </c>
      <c r="B7" s="4">
        <v>985715.9</v>
      </c>
      <c r="C7">
        <v>1</v>
      </c>
      <c r="D7">
        <v>6</v>
      </c>
      <c r="E7">
        <f t="shared" si="0"/>
        <v>1000247.4835087722</v>
      </c>
    </row>
    <row r="8" spans="1:14" x14ac:dyDescent="0.3">
      <c r="A8" s="1" t="s">
        <v>28</v>
      </c>
      <c r="B8" s="4">
        <v>1137372.8</v>
      </c>
      <c r="C8">
        <v>1</v>
      </c>
      <c r="D8">
        <v>7</v>
      </c>
      <c r="E8">
        <f t="shared" si="0"/>
        <v>1086811.5389473685</v>
      </c>
    </row>
    <row r="9" spans="1:14" x14ac:dyDescent="0.3">
      <c r="A9" s="1" t="s">
        <v>29</v>
      </c>
      <c r="B9" s="4">
        <v>1178303.6000000001</v>
      </c>
      <c r="C9">
        <v>1</v>
      </c>
      <c r="D9">
        <v>8</v>
      </c>
      <c r="E9">
        <f t="shared" si="0"/>
        <v>1173375.5943859653</v>
      </c>
      <c r="I9" t="s">
        <v>111</v>
      </c>
      <c r="J9" t="s">
        <v>79</v>
      </c>
      <c r="K9" t="s">
        <v>81</v>
      </c>
    </row>
    <row r="10" spans="1:14" x14ac:dyDescent="0.3">
      <c r="A10" s="1" t="s">
        <v>30</v>
      </c>
      <c r="B10" s="4">
        <v>1182963.8999999999</v>
      </c>
      <c r="C10">
        <v>1</v>
      </c>
      <c r="D10">
        <v>9</v>
      </c>
      <c r="E10">
        <f t="shared" si="0"/>
        <v>1259939.6498245616</v>
      </c>
      <c r="I10" t="s">
        <v>112</v>
      </c>
      <c r="J10" t="s">
        <v>55</v>
      </c>
      <c r="K10">
        <f>K4</f>
        <v>213580.58954514752</v>
      </c>
      <c r="L10" t="s">
        <v>115</v>
      </c>
    </row>
    <row r="11" spans="1:14" ht="14.4" customHeight="1" x14ac:dyDescent="0.3">
      <c r="A11" s="1" t="s">
        <v>31</v>
      </c>
      <c r="B11" s="4">
        <v>1210038.6000000001</v>
      </c>
      <c r="C11">
        <v>1</v>
      </c>
      <c r="D11">
        <v>10</v>
      </c>
      <c r="E11">
        <f t="shared" si="0"/>
        <v>1346503.7052631581</v>
      </c>
      <c r="F11" t="s">
        <v>67</v>
      </c>
      <c r="I11" t="s">
        <v>113</v>
      </c>
      <c r="J11" t="s">
        <v>58</v>
      </c>
      <c r="K11" s="6">
        <f>K4/AVERAGE(B2:B20)</f>
        <v>0.15861864227355077</v>
      </c>
      <c r="L11" t="s">
        <v>114</v>
      </c>
    </row>
    <row r="12" spans="1:14" x14ac:dyDescent="0.3">
      <c r="A12" s="1" t="s">
        <v>32</v>
      </c>
      <c r="B12" s="4">
        <v>1255515.6000000001</v>
      </c>
      <c r="C12">
        <v>1</v>
      </c>
      <c r="D12">
        <v>11</v>
      </c>
      <c r="E12">
        <f t="shared" si="0"/>
        <v>1433067.7607017546</v>
      </c>
      <c r="F12" cm="1">
        <f t="array" ref="F12:G13">MINVERSE(MMULT(TRANSPOSE(C2:D20),C2:D20))</f>
        <v>0.22807017543859648</v>
      </c>
      <c r="G12">
        <v>-1.7543859649122806E-2</v>
      </c>
      <c r="J12" t="s">
        <v>50</v>
      </c>
      <c r="K12" s="6">
        <f>J4</f>
        <v>0.84633806049445159</v>
      </c>
      <c r="L12" t="s">
        <v>116</v>
      </c>
    </row>
    <row r="13" spans="1:14" x14ac:dyDescent="0.3">
      <c r="A13" s="1" t="s">
        <v>33</v>
      </c>
      <c r="B13" s="4">
        <v>1301911.8</v>
      </c>
      <c r="C13">
        <v>1</v>
      </c>
      <c r="D13">
        <v>12</v>
      </c>
      <c r="E13">
        <f t="shared" si="0"/>
        <v>1519631.8161403509</v>
      </c>
      <c r="F13">
        <v>-1.7543859649122806E-2</v>
      </c>
      <c r="G13">
        <v>1.7543859649122807E-3</v>
      </c>
      <c r="J13" t="s">
        <v>59</v>
      </c>
      <c r="K13" s="6">
        <f>1-K12</f>
        <v>0.15366193950554841</v>
      </c>
    </row>
    <row r="14" spans="1:14" x14ac:dyDescent="0.3">
      <c r="A14" s="1" t="s">
        <v>34</v>
      </c>
      <c r="B14" s="4">
        <v>1417247.1</v>
      </c>
      <c r="C14">
        <v>1</v>
      </c>
      <c r="D14">
        <v>13</v>
      </c>
      <c r="E14">
        <f t="shared" si="0"/>
        <v>1606195.8715789476</v>
      </c>
    </row>
    <row r="15" spans="1:14" x14ac:dyDescent="0.3">
      <c r="A15" s="1" t="s">
        <v>35</v>
      </c>
      <c r="B15" s="4">
        <v>1520836.1</v>
      </c>
      <c r="C15">
        <v>1</v>
      </c>
      <c r="D15">
        <v>14</v>
      </c>
      <c r="E15">
        <f t="shared" si="0"/>
        <v>1692759.9270175439</v>
      </c>
      <c r="J15" t="s">
        <v>60</v>
      </c>
      <c r="K15">
        <f>J2/J3</f>
        <v>9.6763872684747767</v>
      </c>
      <c r="M15" t="s">
        <v>117</v>
      </c>
    </row>
    <row r="16" spans="1:14" x14ac:dyDescent="0.3">
      <c r="A16" s="1" t="s">
        <v>36</v>
      </c>
      <c r="B16" s="4">
        <v>1615202.7</v>
      </c>
      <c r="C16">
        <v>1</v>
      </c>
      <c r="D16">
        <v>15</v>
      </c>
      <c r="E16">
        <f t="shared" si="0"/>
        <v>1779323.9824561402</v>
      </c>
      <c r="J16" t="s">
        <v>61</v>
      </c>
      <c r="K16">
        <f>K2/K3</f>
        <v>4.714389584103218</v>
      </c>
    </row>
    <row r="17" spans="1:20" x14ac:dyDescent="0.3">
      <c r="A17" s="1" t="s">
        <v>37</v>
      </c>
      <c r="B17" s="4">
        <v>1579859.6</v>
      </c>
      <c r="C17">
        <v>1</v>
      </c>
      <c r="D17">
        <v>16</v>
      </c>
      <c r="E17">
        <f t="shared" si="0"/>
        <v>1865888.037894737</v>
      </c>
      <c r="J17" t="s">
        <v>62</v>
      </c>
      <c r="K17">
        <f>_xlfn.T.INV.2T(0.05,K5)</f>
        <v>2.109815577833317</v>
      </c>
    </row>
    <row r="18" spans="1:20" x14ac:dyDescent="0.3">
      <c r="A18" s="1" t="s">
        <v>38</v>
      </c>
      <c r="B18" s="4">
        <v>1947571</v>
      </c>
      <c r="C18">
        <v>1</v>
      </c>
      <c r="D18">
        <v>17</v>
      </c>
      <c r="E18">
        <f t="shared" si="0"/>
        <v>1952452.0933333333</v>
      </c>
    </row>
    <row r="19" spans="1:20" ht="14.4" customHeight="1" x14ac:dyDescent="0.3">
      <c r="A19" s="1" t="s">
        <v>39</v>
      </c>
      <c r="B19" s="4">
        <v>2542289.4</v>
      </c>
      <c r="C19">
        <v>1</v>
      </c>
      <c r="D19">
        <v>18</v>
      </c>
      <c r="E19">
        <f t="shared" si="0"/>
        <v>2039016.14877193</v>
      </c>
      <c r="I19" s="17" t="s">
        <v>102</v>
      </c>
      <c r="J19" s="17"/>
      <c r="K19" s="17"/>
      <c r="O19" s="12" t="s">
        <v>103</v>
      </c>
      <c r="P19" s="12"/>
      <c r="Q19" s="12"/>
    </row>
    <row r="20" spans="1:20" x14ac:dyDescent="0.3">
      <c r="A20" s="1" t="s">
        <v>40</v>
      </c>
      <c r="B20" s="4">
        <v>2557278.2999999998</v>
      </c>
      <c r="C20">
        <v>1</v>
      </c>
      <c r="D20">
        <v>19</v>
      </c>
      <c r="E20">
        <f t="shared" si="0"/>
        <v>2125580.2042105263</v>
      </c>
      <c r="I20" s="17"/>
      <c r="J20" s="17"/>
      <c r="K20" s="17"/>
      <c r="O20" s="12"/>
      <c r="P20" s="12"/>
      <c r="Q20" s="12"/>
    </row>
    <row r="21" spans="1:20" x14ac:dyDescent="0.3">
      <c r="A21" s="5">
        <v>2024</v>
      </c>
      <c r="C21" s="5">
        <v>1</v>
      </c>
      <c r="D21" s="5">
        <v>20</v>
      </c>
      <c r="E21">
        <f t="shared" si="0"/>
        <v>2212144.2596491226</v>
      </c>
    </row>
    <row r="22" spans="1:20" x14ac:dyDescent="0.3">
      <c r="A22" s="5">
        <v>2025</v>
      </c>
      <c r="C22" s="5">
        <v>1</v>
      </c>
      <c r="D22" s="5">
        <v>21</v>
      </c>
      <c r="E22">
        <f t="shared" si="0"/>
        <v>2298708.3150877194</v>
      </c>
      <c r="I22" t="s">
        <v>80</v>
      </c>
      <c r="J22">
        <f>K2+J2*D21</f>
        <v>2212144.2596491226</v>
      </c>
      <c r="N22" t="s">
        <v>80</v>
      </c>
      <c r="O22">
        <f>K2+J2*D22</f>
        <v>2298708.3150877194</v>
      </c>
    </row>
    <row r="23" spans="1:20" ht="14.4" customHeight="1" x14ac:dyDescent="0.3">
      <c r="I23" s="18" t="s">
        <v>118</v>
      </c>
      <c r="J23" s="18"/>
      <c r="K23" s="18"/>
      <c r="N23" s="18" t="s">
        <v>119</v>
      </c>
      <c r="O23" s="18"/>
      <c r="P23" s="18"/>
      <c r="Q23" s="11"/>
    </row>
    <row r="24" spans="1:20" x14ac:dyDescent="0.3">
      <c r="I24" s="18"/>
      <c r="J24" s="18"/>
      <c r="K24" s="18"/>
      <c r="N24" s="18"/>
      <c r="O24" s="18"/>
      <c r="P24" s="18"/>
      <c r="Q24" s="11"/>
    </row>
    <row r="27" spans="1:20" x14ac:dyDescent="0.3">
      <c r="I27" s="5" t="s">
        <v>68</v>
      </c>
      <c r="J27" s="5">
        <v>1</v>
      </c>
      <c r="K27" s="5">
        <f>LN(D21)</f>
        <v>2.9957322735539909</v>
      </c>
      <c r="O27" s="5" t="s">
        <v>68</v>
      </c>
      <c r="P27" s="5">
        <v>1</v>
      </c>
      <c r="Q27" s="5">
        <f>LN(D22)</f>
        <v>3.044522437723423</v>
      </c>
    </row>
    <row r="30" spans="1:20" x14ac:dyDescent="0.3">
      <c r="I30" t="s">
        <v>75</v>
      </c>
      <c r="J30" cm="1">
        <f t="array" ref="J30">MMULT(MMULT(J27:K27,_xlfn.ANCHORARRAY(F12)),TRANSPOSE(J27:K27))</f>
        <v>0.13870134453286517</v>
      </c>
      <c r="O30" t="s">
        <v>75</v>
      </c>
      <c r="P30" cm="1">
        <f t="array" ref="P30">MMULT(MMULT(P27:Q27,_xlfn.ANCHORARRAY(F12)),TRANSPOSE(P27:Q27))</f>
        <v>0.13750643529707529</v>
      </c>
    </row>
    <row r="31" spans="1:20" ht="14.4" customHeight="1" x14ac:dyDescent="0.3">
      <c r="I31" t="s">
        <v>69</v>
      </c>
      <c r="J31">
        <f>SQRT(K4^2 *(1+J30))</f>
        <v>227911.74047671657</v>
      </c>
      <c r="K31" s="18" t="s">
        <v>120</v>
      </c>
      <c r="L31" s="18"/>
      <c r="M31" s="18"/>
      <c r="N31" s="18"/>
      <c r="O31" t="s">
        <v>69</v>
      </c>
      <c r="P31">
        <f>SQRT(K4^2 *(1+P30))</f>
        <v>227792.12819795089</v>
      </c>
      <c r="Q31" s="18" t="s">
        <v>121</v>
      </c>
      <c r="R31" s="18"/>
      <c r="S31" s="18"/>
      <c r="T31" s="18"/>
    </row>
    <row r="32" spans="1:20" x14ac:dyDescent="0.3">
      <c r="K32" s="18"/>
      <c r="L32" s="18"/>
      <c r="M32" s="18"/>
      <c r="N32" s="18"/>
      <c r="Q32" s="18"/>
      <c r="R32" s="18"/>
      <c r="S32" s="18"/>
      <c r="T32" s="18"/>
    </row>
    <row r="34" spans="9:21" ht="14.4" customHeight="1" x14ac:dyDescent="0.3">
      <c r="I34" t="s">
        <v>70</v>
      </c>
      <c r="J34" s="6">
        <f>J31/J22</f>
        <v>0.10302752159249623</v>
      </c>
      <c r="K34" s="18" t="s">
        <v>122</v>
      </c>
      <c r="L34" s="18"/>
      <c r="M34" s="18"/>
      <c r="N34" s="18"/>
      <c r="O34" t="s">
        <v>70</v>
      </c>
      <c r="P34" s="6">
        <f>P31/O22</f>
        <v>9.9095708099554286E-2</v>
      </c>
      <c r="Q34" s="18" t="s">
        <v>123</v>
      </c>
      <c r="R34" s="18"/>
      <c r="S34" s="18"/>
      <c r="T34" s="18"/>
      <c r="U34" s="11"/>
    </row>
    <row r="35" spans="9:21" x14ac:dyDescent="0.3">
      <c r="K35" s="18"/>
      <c r="L35" s="18"/>
      <c r="M35" s="18"/>
      <c r="N35" s="18"/>
      <c r="O35" s="11"/>
      <c r="Q35" s="18"/>
      <c r="R35" s="18"/>
      <c r="S35" s="18"/>
      <c r="T35" s="18"/>
      <c r="U35" s="11"/>
    </row>
    <row r="36" spans="9:21" x14ac:dyDescent="0.3">
      <c r="K36" s="18"/>
      <c r="L36" s="18"/>
      <c r="M36" s="18"/>
      <c r="N36" s="18"/>
      <c r="Q36" s="18"/>
      <c r="R36" s="18"/>
      <c r="S36" s="18"/>
      <c r="T36" s="18"/>
    </row>
  </sheetData>
  <mergeCells count="7">
    <mergeCell ref="I19:K20"/>
    <mergeCell ref="N23:P24"/>
    <mergeCell ref="K31:N32"/>
    <mergeCell ref="Q31:T32"/>
    <mergeCell ref="K34:N36"/>
    <mergeCell ref="Q34:T36"/>
    <mergeCell ref="I23:K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9F95-F7CE-4DBE-B76D-1BD5E7ACAE65}">
  <dimension ref="A1:W39"/>
  <sheetViews>
    <sheetView topLeftCell="A7" zoomScale="73" zoomScaleNormal="115" workbookViewId="0">
      <selection activeCell="L2" sqref="L2"/>
    </sheetView>
  </sheetViews>
  <sheetFormatPr defaultRowHeight="14.4" x14ac:dyDescent="0.3"/>
  <cols>
    <col min="2" max="2" width="12.33203125" customWidth="1"/>
    <col min="9" max="9" width="14.6640625" customWidth="1"/>
    <col min="10" max="10" width="13.77734375" bestFit="1" customWidth="1"/>
    <col min="11" max="11" width="11.77734375" customWidth="1"/>
    <col min="13" max="13" width="14.33203125" customWidth="1"/>
    <col min="14" max="14" width="19.21875" customWidth="1"/>
    <col min="18" max="18" width="13.109375" bestFit="1" customWidth="1"/>
    <col min="23" max="23" width="14.44140625" customWidth="1"/>
  </cols>
  <sheetData>
    <row r="1" spans="1:16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H1" s="15" t="s">
        <v>157</v>
      </c>
    </row>
    <row r="2" spans="1:16" x14ac:dyDescent="0.3">
      <c r="A2" s="1" t="s">
        <v>22</v>
      </c>
      <c r="B2" s="4">
        <v>687810.1</v>
      </c>
      <c r="C2">
        <f>LN(B2)</f>
        <v>13.441268061373796</v>
      </c>
      <c r="D2">
        <v>1</v>
      </c>
      <c r="E2">
        <v>1</v>
      </c>
      <c r="F2">
        <f>LN(D2)</f>
        <v>0</v>
      </c>
      <c r="G2">
        <f>$M$2+$L$2*F2</f>
        <v>13.212354468364401</v>
      </c>
      <c r="H2">
        <f>EXP(G2)</f>
        <v>547082.26785312581</v>
      </c>
      <c r="I2" t="s">
        <v>71</v>
      </c>
      <c r="K2" t="s">
        <v>51</v>
      </c>
      <c r="L2" cm="1">
        <f t="array" ref="L2:M6">LINEST(C2:C20,F2:F20,1,1)</f>
        <v>0.40349408825070787</v>
      </c>
      <c r="M2">
        <v>13.212354468364401</v>
      </c>
      <c r="N2" t="s">
        <v>53</v>
      </c>
      <c r="O2" t="s">
        <v>124</v>
      </c>
    </row>
    <row r="3" spans="1:16" x14ac:dyDescent="0.3">
      <c r="A3" s="1" t="s">
        <v>23</v>
      </c>
      <c r="B3" s="4">
        <v>775521.5</v>
      </c>
      <c r="C3">
        <f t="shared" ref="C3:C20" si="0">LN(B3)</f>
        <v>13.561290985263426</v>
      </c>
      <c r="D3">
        <v>2</v>
      </c>
      <c r="E3">
        <v>1</v>
      </c>
      <c r="F3">
        <f t="shared" ref="F3:F22" si="1">LN(D3)</f>
        <v>0.69314718055994529</v>
      </c>
      <c r="G3">
        <f t="shared" ref="G3:G22" si="2">$M$2+$L$2*F3</f>
        <v>13.492035258007984</v>
      </c>
      <c r="H3">
        <f t="shared" ref="H3:H22" si="3">EXP(G3)</f>
        <v>723629.83139010891</v>
      </c>
      <c r="K3" t="s">
        <v>52</v>
      </c>
      <c r="L3">
        <v>4.8479408390118404E-2</v>
      </c>
      <c r="M3">
        <v>0.10736580278134751</v>
      </c>
      <c r="N3" t="s">
        <v>54</v>
      </c>
      <c r="O3" t="s">
        <v>77</v>
      </c>
      <c r="P3" t="s">
        <v>127</v>
      </c>
    </row>
    <row r="4" spans="1:16" x14ac:dyDescent="0.3">
      <c r="A4" s="1" t="s">
        <v>24</v>
      </c>
      <c r="B4" s="4">
        <v>873470.7</v>
      </c>
      <c r="C4">
        <f t="shared" si="0"/>
        <v>13.680229864776718</v>
      </c>
      <c r="D4">
        <v>3</v>
      </c>
      <c r="E4">
        <v>1</v>
      </c>
      <c r="F4">
        <f t="shared" si="1"/>
        <v>1.0986122886681098</v>
      </c>
      <c r="G4">
        <f t="shared" si="2"/>
        <v>13.655638032121564</v>
      </c>
      <c r="H4">
        <f t="shared" si="3"/>
        <v>852252.42220141739</v>
      </c>
      <c r="I4" t="s">
        <v>133</v>
      </c>
      <c r="K4" t="s">
        <v>50</v>
      </c>
      <c r="L4" s="5">
        <v>0.80294954272530461</v>
      </c>
      <c r="M4">
        <v>0.16608228453965546</v>
      </c>
      <c r="N4" t="s">
        <v>55</v>
      </c>
      <c r="O4" t="s">
        <v>51</v>
      </c>
      <c r="P4" t="s">
        <v>128</v>
      </c>
    </row>
    <row r="5" spans="1:16" x14ac:dyDescent="0.3">
      <c r="A5" s="1" t="s">
        <v>25</v>
      </c>
      <c r="B5" s="4">
        <v>918281.9</v>
      </c>
      <c r="C5">
        <f t="shared" si="0"/>
        <v>13.730259703073049</v>
      </c>
      <c r="D5">
        <v>4</v>
      </c>
      <c r="E5">
        <v>1</v>
      </c>
      <c r="F5">
        <f t="shared" si="1"/>
        <v>1.3862943611198906</v>
      </c>
      <c r="G5">
        <f t="shared" si="2"/>
        <v>13.771716047651569</v>
      </c>
      <c r="H5">
        <f t="shared" si="3"/>
        <v>957150.62184808229</v>
      </c>
      <c r="L5">
        <v>69.272319461311326</v>
      </c>
      <c r="M5">
        <v>17</v>
      </c>
      <c r="N5" t="s">
        <v>56</v>
      </c>
    </row>
    <row r="6" spans="1:16" x14ac:dyDescent="0.3">
      <c r="A6" s="1" t="s">
        <v>26</v>
      </c>
      <c r="B6" s="4">
        <v>896379.8</v>
      </c>
      <c r="C6">
        <f t="shared" si="0"/>
        <v>13.706119486072225</v>
      </c>
      <c r="D6">
        <v>5</v>
      </c>
      <c r="E6">
        <v>1</v>
      </c>
      <c r="F6">
        <f t="shared" si="1"/>
        <v>1.6094379124341003</v>
      </c>
      <c r="G6">
        <f t="shared" si="2"/>
        <v>13.861753151438121</v>
      </c>
      <c r="H6">
        <f t="shared" si="3"/>
        <v>1047328.4551891579</v>
      </c>
      <c r="L6">
        <v>1.9107609176858276</v>
      </c>
      <c r="M6">
        <v>0.46891652904448838</v>
      </c>
    </row>
    <row r="7" spans="1:16" x14ac:dyDescent="0.3">
      <c r="A7" s="1" t="s">
        <v>27</v>
      </c>
      <c r="B7" s="4">
        <v>985715.9</v>
      </c>
      <c r="C7">
        <f t="shared" si="0"/>
        <v>13.801123458191993</v>
      </c>
      <c r="D7">
        <v>6</v>
      </c>
      <c r="E7">
        <v>1</v>
      </c>
      <c r="F7">
        <f t="shared" si="1"/>
        <v>1.791759469228055</v>
      </c>
      <c r="G7">
        <f t="shared" si="2"/>
        <v>13.935318821765147</v>
      </c>
      <c r="H7">
        <f t="shared" si="3"/>
        <v>1127280.6903421555</v>
      </c>
      <c r="I7" t="s">
        <v>67</v>
      </c>
    </row>
    <row r="8" spans="1:16" x14ac:dyDescent="0.3">
      <c r="A8" s="1" t="s">
        <v>28</v>
      </c>
      <c r="B8" s="4">
        <v>1137372.8</v>
      </c>
      <c r="C8">
        <f t="shared" si="0"/>
        <v>13.944231599378629</v>
      </c>
      <c r="D8">
        <v>7</v>
      </c>
      <c r="E8">
        <v>1</v>
      </c>
      <c r="F8">
        <f t="shared" si="1"/>
        <v>1.9459101490553132</v>
      </c>
      <c r="G8">
        <f t="shared" si="2"/>
        <v>13.997517709775273</v>
      </c>
      <c r="H8">
        <f t="shared" si="3"/>
        <v>1199622.7733245343</v>
      </c>
      <c r="I8" cm="1">
        <f t="array" ref="I8:J9">MINVERSE(MMULT(TRANSPOSE(E2:F20),E2:F20))</f>
        <v>0.41791247093877121</v>
      </c>
      <c r="J8">
        <v>-0.1764198622144118</v>
      </c>
    </row>
    <row r="9" spans="1:16" x14ac:dyDescent="0.3">
      <c r="A9" s="1" t="s">
        <v>29</v>
      </c>
      <c r="B9" s="4">
        <v>1178303.6000000001</v>
      </c>
      <c r="C9">
        <f t="shared" si="0"/>
        <v>13.979586334945852</v>
      </c>
      <c r="D9">
        <v>8</v>
      </c>
      <c r="E9">
        <v>1</v>
      </c>
      <c r="F9">
        <f t="shared" si="1"/>
        <v>2.0794415416798357</v>
      </c>
      <c r="G9">
        <f t="shared" si="2"/>
        <v>14.051396837295153</v>
      </c>
      <c r="H9">
        <f t="shared" si="3"/>
        <v>1266030.3281641235</v>
      </c>
      <c r="I9">
        <v>-0.1764198622144118</v>
      </c>
      <c r="J9">
        <v>8.5205573207165125E-2</v>
      </c>
      <c r="K9" t="s">
        <v>57</v>
      </c>
    </row>
    <row r="10" spans="1:16" x14ac:dyDescent="0.3">
      <c r="A10" s="1" t="s">
        <v>30</v>
      </c>
      <c r="B10" s="4">
        <v>1182963.8999999999</v>
      </c>
      <c r="C10">
        <f t="shared" si="0"/>
        <v>13.983533626856705</v>
      </c>
      <c r="D10">
        <v>9</v>
      </c>
      <c r="E10">
        <v>1</v>
      </c>
      <c r="F10">
        <f t="shared" si="1"/>
        <v>2.1972245773362196</v>
      </c>
      <c r="G10">
        <f t="shared" si="2"/>
        <v>14.098921595878727</v>
      </c>
      <c r="H10">
        <f t="shared" si="3"/>
        <v>1327650.7644791382</v>
      </c>
      <c r="K10" t="s">
        <v>55</v>
      </c>
      <c r="L10">
        <f>M4</f>
        <v>0.16608228453965546</v>
      </c>
      <c r="M10" t="s">
        <v>127</v>
      </c>
    </row>
    <row r="11" spans="1:16" x14ac:dyDescent="0.3">
      <c r="A11" s="1" t="s">
        <v>31</v>
      </c>
      <c r="B11" s="4">
        <v>1210038.6000000001</v>
      </c>
      <c r="C11">
        <f t="shared" si="0"/>
        <v>14.00616281789055</v>
      </c>
      <c r="D11">
        <v>10</v>
      </c>
      <c r="E11">
        <v>1</v>
      </c>
      <c r="F11">
        <f t="shared" si="1"/>
        <v>2.3025850929940459</v>
      </c>
      <c r="G11">
        <f t="shared" si="2"/>
        <v>14.141433941081704</v>
      </c>
      <c r="H11">
        <f t="shared" si="3"/>
        <v>1385309.226732349</v>
      </c>
      <c r="K11" t="s">
        <v>58</v>
      </c>
      <c r="L11" s="6">
        <f>M4/AVERAGE(C2:C20)</f>
        <v>1.1822656813822262E-2</v>
      </c>
      <c r="M11" t="s">
        <v>127</v>
      </c>
    </row>
    <row r="12" spans="1:16" x14ac:dyDescent="0.3">
      <c r="A12" s="1" t="s">
        <v>32</v>
      </c>
      <c r="B12" s="4">
        <v>1255515.6000000001</v>
      </c>
      <c r="C12">
        <f t="shared" si="0"/>
        <v>14.043056882831138</v>
      </c>
      <c r="D12">
        <v>11</v>
      </c>
      <c r="E12">
        <v>1</v>
      </c>
      <c r="F12">
        <f t="shared" si="1"/>
        <v>2.3978952727983707</v>
      </c>
      <c r="G12">
        <f t="shared" si="2"/>
        <v>14.179891035182862</v>
      </c>
      <c r="H12">
        <f t="shared" si="3"/>
        <v>1439621.8532878913</v>
      </c>
      <c r="K12" t="s">
        <v>50</v>
      </c>
      <c r="L12" s="6">
        <f>L4</f>
        <v>0.80294954272530461</v>
      </c>
      <c r="M12" t="s">
        <v>129</v>
      </c>
    </row>
    <row r="13" spans="1:16" x14ac:dyDescent="0.3">
      <c r="A13" s="1" t="s">
        <v>33</v>
      </c>
      <c r="B13" s="4">
        <v>1301911.8</v>
      </c>
      <c r="C13">
        <f t="shared" si="0"/>
        <v>14.079344357520579</v>
      </c>
      <c r="D13">
        <v>12</v>
      </c>
      <c r="E13">
        <v>1</v>
      </c>
      <c r="F13">
        <f t="shared" si="1"/>
        <v>2.4849066497880004</v>
      </c>
      <c r="G13">
        <f t="shared" si="2"/>
        <v>14.21499961140873</v>
      </c>
      <c r="H13">
        <f t="shared" si="3"/>
        <v>1491062.6496500126</v>
      </c>
      <c r="K13" t="s">
        <v>59</v>
      </c>
      <c r="L13" s="6">
        <f>1-L12</f>
        <v>0.19705045727469539</v>
      </c>
    </row>
    <row r="14" spans="1:16" x14ac:dyDescent="0.3">
      <c r="A14" s="1" t="s">
        <v>34</v>
      </c>
      <c r="B14" s="4">
        <v>1417247.1</v>
      </c>
      <c r="C14">
        <f t="shared" si="0"/>
        <v>14.164226885968192</v>
      </c>
      <c r="D14">
        <v>13</v>
      </c>
      <c r="E14">
        <v>1</v>
      </c>
      <c r="F14">
        <f t="shared" si="1"/>
        <v>2.5649493574615367</v>
      </c>
      <c r="G14">
        <f t="shared" si="2"/>
        <v>14.247296370762584</v>
      </c>
      <c r="H14">
        <f t="shared" si="3"/>
        <v>1540005.2304229508</v>
      </c>
    </row>
    <row r="15" spans="1:16" x14ac:dyDescent="0.3">
      <c r="A15" s="1" t="s">
        <v>35</v>
      </c>
      <c r="B15" s="4">
        <v>1520836.1</v>
      </c>
      <c r="C15">
        <f t="shared" si="0"/>
        <v>14.234770807381201</v>
      </c>
      <c r="D15">
        <v>14</v>
      </c>
      <c r="E15">
        <v>1</v>
      </c>
      <c r="F15">
        <f t="shared" si="1"/>
        <v>2.6390573296152584</v>
      </c>
      <c r="G15">
        <f t="shared" si="2"/>
        <v>14.277198499418857</v>
      </c>
      <c r="H15">
        <f t="shared" si="3"/>
        <v>1586750.0670404115</v>
      </c>
      <c r="K15" t="s">
        <v>60</v>
      </c>
      <c r="L15">
        <f>L2/L3</f>
        <v>8.3229994269680976</v>
      </c>
      <c r="N15" t="s">
        <v>117</v>
      </c>
    </row>
    <row r="16" spans="1:16" x14ac:dyDescent="0.3">
      <c r="A16" s="1" t="s">
        <v>36</v>
      </c>
      <c r="B16" s="4">
        <v>1615202.7</v>
      </c>
      <c r="C16">
        <f t="shared" si="0"/>
        <v>14.294971017598982</v>
      </c>
      <c r="D16">
        <v>15</v>
      </c>
      <c r="E16">
        <v>1</v>
      </c>
      <c r="F16">
        <f t="shared" si="1"/>
        <v>2.7080502011022101</v>
      </c>
      <c r="G16">
        <f t="shared" si="2"/>
        <v>14.305036715195284</v>
      </c>
      <c r="H16">
        <f t="shared" si="3"/>
        <v>1631542.9419384142</v>
      </c>
      <c r="K16" t="s">
        <v>61</v>
      </c>
      <c r="L16">
        <f>M2/M3</f>
        <v>123.05924350299519</v>
      </c>
    </row>
    <row r="17" spans="1:23" x14ac:dyDescent="0.3">
      <c r="A17" s="1" t="s">
        <v>37</v>
      </c>
      <c r="B17" s="4">
        <v>1579859.6</v>
      </c>
      <c r="C17">
        <f t="shared" si="0"/>
        <v>14.272846540295305</v>
      </c>
      <c r="D17">
        <v>16</v>
      </c>
      <c r="E17">
        <v>1</v>
      </c>
      <c r="F17">
        <f t="shared" si="1"/>
        <v>2.7725887222397811</v>
      </c>
      <c r="G17">
        <f t="shared" si="2"/>
        <v>14.331077626938736</v>
      </c>
      <c r="H17">
        <f t="shared" si="3"/>
        <v>1674587.8394108778</v>
      </c>
      <c r="K17" t="s">
        <v>62</v>
      </c>
      <c r="L17">
        <f>_xlfn.T.INV.2T(0.05,M5)</f>
        <v>2.109815577833317</v>
      </c>
    </row>
    <row r="18" spans="1:23" x14ac:dyDescent="0.3">
      <c r="A18" s="1" t="s">
        <v>38</v>
      </c>
      <c r="B18" s="4">
        <v>1947571</v>
      </c>
      <c r="C18">
        <f t="shared" si="0"/>
        <v>14.482093513058649</v>
      </c>
      <c r="D18">
        <v>17</v>
      </c>
      <c r="E18">
        <v>1</v>
      </c>
      <c r="F18">
        <f t="shared" si="1"/>
        <v>2.8332133440562162</v>
      </c>
      <c r="G18">
        <f t="shared" si="2"/>
        <v>14.355539303444104</v>
      </c>
      <c r="H18">
        <f t="shared" si="3"/>
        <v>1716056.1903344805</v>
      </c>
    </row>
    <row r="19" spans="1:23" x14ac:dyDescent="0.3">
      <c r="A19" s="1" t="s">
        <v>39</v>
      </c>
      <c r="B19" s="4">
        <v>2542289.4</v>
      </c>
      <c r="C19">
        <f t="shared" si="0"/>
        <v>14.748575571615698</v>
      </c>
      <c r="D19">
        <v>18</v>
      </c>
      <c r="E19">
        <v>1</v>
      </c>
      <c r="F19">
        <f t="shared" si="1"/>
        <v>2.8903717578961645</v>
      </c>
      <c r="G19">
        <f t="shared" si="2"/>
        <v>14.37860238552231</v>
      </c>
      <c r="H19">
        <f t="shared" si="3"/>
        <v>1756093.6540953889</v>
      </c>
      <c r="K19" t="s">
        <v>102</v>
      </c>
      <c r="P19" t="s">
        <v>103</v>
      </c>
    </row>
    <row r="20" spans="1:23" x14ac:dyDescent="0.3">
      <c r="A20" s="1" t="s">
        <v>40</v>
      </c>
      <c r="B20" s="4">
        <v>2557278.2999999998</v>
      </c>
      <c r="C20">
        <f t="shared" si="0"/>
        <v>14.754454086833443</v>
      </c>
      <c r="D20">
        <v>19</v>
      </c>
      <c r="E20">
        <v>1</v>
      </c>
      <c r="F20">
        <f t="shared" si="1"/>
        <v>2.9444389791664403</v>
      </c>
      <c r="G20">
        <f t="shared" si="2"/>
        <v>14.400418189673008</v>
      </c>
      <c r="H20">
        <f t="shared" si="3"/>
        <v>1794825.1930468259</v>
      </c>
      <c r="K20" t="s">
        <v>63</v>
      </c>
      <c r="P20" t="s">
        <v>64</v>
      </c>
    </row>
    <row r="21" spans="1:23" x14ac:dyDescent="0.3">
      <c r="A21" s="5">
        <v>2024</v>
      </c>
      <c r="D21" s="5">
        <v>20</v>
      </c>
      <c r="E21" s="5">
        <v>1</v>
      </c>
      <c r="F21" s="5">
        <f t="shared" si="1"/>
        <v>2.9957322735539909</v>
      </c>
      <c r="G21">
        <f t="shared" si="2"/>
        <v>14.421114730725289</v>
      </c>
      <c r="H21">
        <f t="shared" si="3"/>
        <v>1832358.9358824184</v>
      </c>
    </row>
    <row r="22" spans="1:23" x14ac:dyDescent="0.3">
      <c r="A22" s="5">
        <v>2025</v>
      </c>
      <c r="D22" s="5">
        <v>21</v>
      </c>
      <c r="E22" s="5">
        <v>1</v>
      </c>
      <c r="F22" s="5">
        <f t="shared" si="1"/>
        <v>3.044522437723423</v>
      </c>
      <c r="G22">
        <f t="shared" si="2"/>
        <v>14.440801273532436</v>
      </c>
      <c r="H22">
        <f t="shared" si="3"/>
        <v>1868789.1645727644</v>
      </c>
      <c r="J22" t="s">
        <v>65</v>
      </c>
      <c r="K22">
        <f>M2+L2*F21</f>
        <v>14.421114730725289</v>
      </c>
      <c r="Q22" t="s">
        <v>65</v>
      </c>
      <c r="R22">
        <f>M2+L2*LN(D22)</f>
        <v>14.440801273532436</v>
      </c>
    </row>
    <row r="23" spans="1:23" x14ac:dyDescent="0.3">
      <c r="J23" t="s">
        <v>66</v>
      </c>
      <c r="K23">
        <f>EXP(K22)</f>
        <v>1832358.9358824184</v>
      </c>
      <c r="Q23" t="s">
        <v>66</v>
      </c>
      <c r="R23">
        <f>EXP(R22)</f>
        <v>1868789.1645727644</v>
      </c>
    </row>
    <row r="24" spans="1:23" ht="14.4" customHeight="1" x14ac:dyDescent="0.3">
      <c r="I24" s="18" t="s">
        <v>130</v>
      </c>
      <c r="J24" s="18"/>
      <c r="K24" s="18"/>
      <c r="P24" s="18" t="s">
        <v>131</v>
      </c>
      <c r="Q24" s="18"/>
      <c r="R24" s="18"/>
      <c r="S24" s="18"/>
      <c r="T24" s="18"/>
    </row>
    <row r="25" spans="1:23" x14ac:dyDescent="0.3">
      <c r="I25" s="18"/>
      <c r="J25" s="18"/>
      <c r="K25" s="18"/>
      <c r="P25" s="18"/>
      <c r="Q25" s="18"/>
      <c r="R25" s="18"/>
      <c r="S25" s="18"/>
      <c r="T25" s="18"/>
    </row>
    <row r="26" spans="1:23" x14ac:dyDescent="0.3">
      <c r="I26" s="18"/>
      <c r="J26" s="18"/>
      <c r="K26" s="18"/>
      <c r="P26" s="18"/>
      <c r="Q26" s="18"/>
      <c r="R26" s="18"/>
      <c r="S26" s="18"/>
      <c r="T26" s="18"/>
    </row>
    <row r="27" spans="1:23" x14ac:dyDescent="0.3">
      <c r="I27" s="5" t="s">
        <v>68</v>
      </c>
      <c r="J27" s="5">
        <v>1</v>
      </c>
      <c r="K27" s="5">
        <f>LN(D21)</f>
        <v>2.9957322735539909</v>
      </c>
      <c r="P27" s="5" t="s">
        <v>68</v>
      </c>
      <c r="Q27" s="5">
        <v>1</v>
      </c>
      <c r="R27" s="5">
        <f>LN(D22)</f>
        <v>3.044522437723423</v>
      </c>
    </row>
    <row r="30" spans="1:23" x14ac:dyDescent="0.3">
      <c r="I30" t="s">
        <v>75</v>
      </c>
      <c r="J30" cm="1">
        <f t="array" ref="J30">MMULT(MMULT(J27:K27,_xlfn.ANCHORARRAY(I8)),TRANSPOSE(J27:K27))</f>
        <v>0.12556902736196429</v>
      </c>
      <c r="Q30" t="s">
        <v>75</v>
      </c>
      <c r="R30" cm="1">
        <f t="array" ref="R30">MMULT(MMULT(Q27:R27,_xlfn.ANCHORARRAY(I8)),TRANSPOSE(Q27:R27))</f>
        <v>0.13346442935152075</v>
      </c>
    </row>
    <row r="31" spans="1:23" ht="14.4" customHeight="1" x14ac:dyDescent="0.3">
      <c r="I31" t="s">
        <v>69</v>
      </c>
      <c r="J31">
        <f>SQRT(M4^2 *(1+J30))*K23</f>
        <v>322864.22643067973</v>
      </c>
      <c r="K31" s="17" t="s">
        <v>132</v>
      </c>
      <c r="L31" s="17"/>
      <c r="M31" s="17"/>
      <c r="N31" s="17"/>
      <c r="Q31" t="s">
        <v>69</v>
      </c>
      <c r="R31">
        <f>SQRT(M4^2 *(1+R30))*R23</f>
        <v>330436.15899616911</v>
      </c>
      <c r="S31" s="17" t="s">
        <v>120</v>
      </c>
      <c r="T31" s="17"/>
      <c r="U31" s="17"/>
      <c r="V31" s="17"/>
      <c r="W31" s="17"/>
    </row>
    <row r="32" spans="1:23" x14ac:dyDescent="0.3">
      <c r="K32" s="17"/>
      <c r="L32" s="17"/>
      <c r="M32" s="17"/>
      <c r="N32" s="17"/>
      <c r="S32" s="17"/>
      <c r="T32" s="17"/>
      <c r="U32" s="17"/>
      <c r="V32" s="17"/>
      <c r="W32" s="17"/>
    </row>
    <row r="33" spans="9:23" x14ac:dyDescent="0.3">
      <c r="K33" s="17"/>
      <c r="L33" s="17"/>
      <c r="M33" s="17"/>
      <c r="N33" s="17"/>
      <c r="S33" s="17"/>
      <c r="T33" s="17"/>
      <c r="U33" s="17"/>
      <c r="V33" s="17"/>
      <c r="W33" s="17"/>
    </row>
    <row r="34" spans="9:23" x14ac:dyDescent="0.3">
      <c r="K34" s="12"/>
      <c r="L34" s="12"/>
      <c r="M34" s="12"/>
      <c r="N34" s="12"/>
    </row>
    <row r="35" spans="9:23" x14ac:dyDescent="0.3">
      <c r="K35" s="12"/>
      <c r="L35" s="12"/>
      <c r="M35" s="12"/>
      <c r="N35" s="12"/>
    </row>
    <row r="36" spans="9:23" ht="14.4" customHeight="1" x14ac:dyDescent="0.3">
      <c r="I36" t="s">
        <v>70</v>
      </c>
      <c r="J36" s="6">
        <f>J31/K23</f>
        <v>0.17620140907337914</v>
      </c>
      <c r="K36" s="18" t="s">
        <v>158</v>
      </c>
      <c r="L36" s="18"/>
      <c r="M36" s="18"/>
      <c r="N36" s="18"/>
      <c r="Q36" t="s">
        <v>70</v>
      </c>
      <c r="R36" s="6">
        <f>R31/R23</f>
        <v>0.17681831918782137</v>
      </c>
      <c r="S36" s="18" t="s">
        <v>159</v>
      </c>
      <c r="T36" s="18"/>
      <c r="U36" s="18"/>
      <c r="V36" s="18"/>
      <c r="W36" s="18"/>
    </row>
    <row r="37" spans="9:23" x14ac:dyDescent="0.3">
      <c r="K37" s="18"/>
      <c r="L37" s="18"/>
      <c r="M37" s="18"/>
      <c r="N37" s="18"/>
      <c r="S37" s="18"/>
      <c r="T37" s="18"/>
      <c r="U37" s="18"/>
      <c r="V37" s="18"/>
      <c r="W37" s="18"/>
    </row>
    <row r="38" spans="9:23" x14ac:dyDescent="0.3">
      <c r="K38" s="18"/>
      <c r="L38" s="18"/>
      <c r="M38" s="18"/>
      <c r="N38" s="18"/>
      <c r="S38" s="18"/>
      <c r="T38" s="18"/>
      <c r="U38" s="18"/>
      <c r="V38" s="18"/>
      <c r="W38" s="18"/>
    </row>
    <row r="39" spans="9:23" x14ac:dyDescent="0.3">
      <c r="K39" s="18"/>
      <c r="L39" s="18"/>
      <c r="M39" s="18"/>
      <c r="N39" s="18"/>
      <c r="S39" s="18"/>
      <c r="T39" s="18"/>
      <c r="U39" s="18"/>
      <c r="V39" s="18"/>
      <c r="W39" s="18"/>
    </row>
  </sheetData>
  <mergeCells count="6">
    <mergeCell ref="K36:N39"/>
    <mergeCell ref="S36:W39"/>
    <mergeCell ref="S31:W33"/>
    <mergeCell ref="I24:K26"/>
    <mergeCell ref="K31:N33"/>
    <mergeCell ref="P24:T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B6B6-13F8-4C05-89FA-443986D3E2A0}">
  <dimension ref="A1:U44"/>
  <sheetViews>
    <sheetView topLeftCell="C1" zoomScale="73" zoomScaleNormal="85" workbookViewId="0">
      <selection activeCell="I35" sqref="I35"/>
    </sheetView>
  </sheetViews>
  <sheetFormatPr defaultRowHeight="14.4" x14ac:dyDescent="0.3"/>
  <cols>
    <col min="2" max="2" width="12.33203125" customWidth="1"/>
    <col min="9" max="9" width="13.6640625" customWidth="1"/>
    <col min="10" max="10" width="10.44140625" customWidth="1"/>
    <col min="13" max="13" width="19.5546875" customWidth="1"/>
    <col min="17" max="17" width="19.5546875" bestFit="1" customWidth="1"/>
    <col min="18" max="18" width="11.21875" customWidth="1"/>
    <col min="21" max="21" width="13.33203125" customWidth="1"/>
  </cols>
  <sheetData>
    <row r="1" spans="1:18" x14ac:dyDescent="0.3">
      <c r="A1" t="s">
        <v>44</v>
      </c>
      <c r="B1" t="s">
        <v>45</v>
      </c>
      <c r="C1" t="s">
        <v>46</v>
      </c>
      <c r="D1" t="s">
        <v>48</v>
      </c>
      <c r="E1" t="s">
        <v>47</v>
      </c>
    </row>
    <row r="2" spans="1:18" x14ac:dyDescent="0.3">
      <c r="A2" s="1" t="s">
        <v>22</v>
      </c>
      <c r="B2" s="4">
        <v>687810.1</v>
      </c>
      <c r="C2">
        <f>LN(B2)</f>
        <v>13.441268061373796</v>
      </c>
      <c r="D2">
        <v>1</v>
      </c>
      <c r="E2">
        <v>1</v>
      </c>
      <c r="F2">
        <f>$M$2+$L$2*E2</f>
        <v>13.482796246945398</v>
      </c>
      <c r="G2">
        <f>EXP(F2)</f>
        <v>716974.9967556973</v>
      </c>
      <c r="H2" t="s">
        <v>72</v>
      </c>
      <c r="K2" t="s">
        <v>51</v>
      </c>
      <c r="L2" cm="1">
        <f t="array" ref="L2:M6">LINEST(C2:C20,E2:E20,1,1)</f>
        <v>6.2777876660605678E-2</v>
      </c>
      <c r="M2">
        <v>13.420018370284792</v>
      </c>
      <c r="N2" t="s">
        <v>53</v>
      </c>
      <c r="P2" t="s">
        <v>124</v>
      </c>
    </row>
    <row r="3" spans="1:18" x14ac:dyDescent="0.3">
      <c r="A3" s="1" t="s">
        <v>23</v>
      </c>
      <c r="B3" s="4">
        <v>775521.5</v>
      </c>
      <c r="C3">
        <f t="shared" ref="C3:C20" si="0">LN(B3)</f>
        <v>13.561290985263426</v>
      </c>
      <c r="D3">
        <v>1</v>
      </c>
      <c r="E3">
        <v>2</v>
      </c>
      <c r="F3">
        <f t="shared" ref="F3:F22" si="1">$M$2+$L$2*E3</f>
        <v>13.545574123606004</v>
      </c>
      <c r="G3">
        <f t="shared" ref="G3:G22" si="2">EXP(F3)</f>
        <v>763428.02058657887</v>
      </c>
      <c r="H3" t="s">
        <v>73</v>
      </c>
      <c r="K3" t="s">
        <v>52</v>
      </c>
      <c r="L3">
        <v>3.7085823797664251E-3</v>
      </c>
      <c r="M3">
        <v>4.2284344913653564E-2</v>
      </c>
      <c r="N3" t="s">
        <v>54</v>
      </c>
      <c r="P3" t="s">
        <v>77</v>
      </c>
      <c r="Q3">
        <f>EXP(M2)</f>
        <v>673348.54381931142</v>
      </c>
      <c r="R3" t="s">
        <v>135</v>
      </c>
    </row>
    <row r="4" spans="1:18" x14ac:dyDescent="0.3">
      <c r="A4" s="1" t="s">
        <v>24</v>
      </c>
      <c r="B4" s="4">
        <v>873470.7</v>
      </c>
      <c r="C4">
        <f t="shared" si="0"/>
        <v>13.680229864776718</v>
      </c>
      <c r="D4">
        <v>1</v>
      </c>
      <c r="E4">
        <v>3</v>
      </c>
      <c r="F4">
        <f t="shared" si="1"/>
        <v>13.60835200026661</v>
      </c>
      <c r="G4">
        <f t="shared" si="2"/>
        <v>812890.74968305102</v>
      </c>
      <c r="K4" t="s">
        <v>50</v>
      </c>
      <c r="L4" s="5">
        <v>0.94399567805068407</v>
      </c>
      <c r="M4">
        <v>8.8541190767252406E-2</v>
      </c>
      <c r="N4" t="s">
        <v>55</v>
      </c>
      <c r="P4" t="s">
        <v>51</v>
      </c>
      <c r="Q4" s="13" t="s">
        <v>134</v>
      </c>
    </row>
    <row r="5" spans="1:18" x14ac:dyDescent="0.3">
      <c r="A5" s="1" t="s">
        <v>25</v>
      </c>
      <c r="B5" s="4">
        <v>918281.9</v>
      </c>
      <c r="C5">
        <f t="shared" si="0"/>
        <v>13.730259703073049</v>
      </c>
      <c r="D5">
        <v>1</v>
      </c>
      <c r="E5">
        <v>4</v>
      </c>
      <c r="F5">
        <f t="shared" si="1"/>
        <v>13.671129876927214</v>
      </c>
      <c r="G5">
        <f t="shared" si="2"/>
        <v>865558.18374671834</v>
      </c>
      <c r="L5">
        <v>286.54800144505009</v>
      </c>
      <c r="M5">
        <v>17</v>
      </c>
      <c r="N5" t="s">
        <v>56</v>
      </c>
    </row>
    <row r="6" spans="1:18" x14ac:dyDescent="0.3">
      <c r="A6" s="1" t="s">
        <v>26</v>
      </c>
      <c r="B6" s="4">
        <v>896379.8</v>
      </c>
      <c r="C6">
        <f t="shared" si="0"/>
        <v>13.706119486072225</v>
      </c>
      <c r="D6">
        <v>1</v>
      </c>
      <c r="E6">
        <v>5</v>
      </c>
      <c r="F6">
        <f t="shared" si="1"/>
        <v>13.73390775358782</v>
      </c>
      <c r="G6">
        <f t="shared" si="2"/>
        <v>921637.95656800305</v>
      </c>
      <c r="L6">
        <v>2.2464052248681052</v>
      </c>
      <c r="M6">
        <v>0.13327222186221069</v>
      </c>
    </row>
    <row r="7" spans="1:18" x14ac:dyDescent="0.3">
      <c r="A7" s="1" t="s">
        <v>27</v>
      </c>
      <c r="B7" s="4">
        <v>985715.9</v>
      </c>
      <c r="C7">
        <f t="shared" si="0"/>
        <v>13.801123458191993</v>
      </c>
      <c r="D7">
        <v>1</v>
      </c>
      <c r="E7">
        <v>6</v>
      </c>
      <c r="F7">
        <f t="shared" si="1"/>
        <v>13.796685630248426</v>
      </c>
      <c r="G7">
        <f t="shared" si="2"/>
        <v>981351.1545925173</v>
      </c>
    </row>
    <row r="8" spans="1:18" x14ac:dyDescent="0.3">
      <c r="A8" s="1" t="s">
        <v>28</v>
      </c>
      <c r="B8" s="4">
        <v>1137372.8</v>
      </c>
      <c r="C8">
        <f t="shared" si="0"/>
        <v>13.944231599378629</v>
      </c>
      <c r="D8">
        <v>1</v>
      </c>
      <c r="E8">
        <v>7</v>
      </c>
      <c r="F8">
        <f t="shared" si="1"/>
        <v>13.859463506909032</v>
      </c>
      <c r="G8">
        <f t="shared" si="2"/>
        <v>1044933.1885226106</v>
      </c>
      <c r="H8" t="s">
        <v>67</v>
      </c>
    </row>
    <row r="9" spans="1:18" x14ac:dyDescent="0.3">
      <c r="A9" s="1" t="s">
        <v>29</v>
      </c>
      <c r="B9" s="4">
        <v>1178303.6000000001</v>
      </c>
      <c r="C9">
        <f t="shared" si="0"/>
        <v>13.979586334945852</v>
      </c>
      <c r="D9">
        <v>1</v>
      </c>
      <c r="E9">
        <v>8</v>
      </c>
      <c r="F9">
        <f t="shared" si="1"/>
        <v>13.922241383569638</v>
      </c>
      <c r="G9">
        <f t="shared" si="2"/>
        <v>1112634.7213902338</v>
      </c>
      <c r="H9" cm="1">
        <f t="array" ref="H9:I10">MINVERSE(MMULT(TRANSPOSE(D2:E20),D2:E20))</f>
        <v>0.22807017543859648</v>
      </c>
      <c r="I9">
        <v>-1.7543859649122806E-2</v>
      </c>
      <c r="K9" t="s">
        <v>74</v>
      </c>
    </row>
    <row r="10" spans="1:18" x14ac:dyDescent="0.3">
      <c r="A10" s="1" t="s">
        <v>30</v>
      </c>
      <c r="B10" s="4">
        <v>1182963.8999999999</v>
      </c>
      <c r="C10">
        <f t="shared" si="0"/>
        <v>13.983533626856705</v>
      </c>
      <c r="D10">
        <v>1</v>
      </c>
      <c r="E10">
        <v>9</v>
      </c>
      <c r="F10">
        <f t="shared" si="1"/>
        <v>13.985019260230242</v>
      </c>
      <c r="G10">
        <f t="shared" si="2"/>
        <v>1184722.6567599194</v>
      </c>
      <c r="H10">
        <v>-1.7543859649122806E-2</v>
      </c>
      <c r="I10">
        <v>1.7543859649122807E-3</v>
      </c>
      <c r="K10" t="s">
        <v>55</v>
      </c>
      <c r="L10">
        <f>M4</f>
        <v>8.8541190767252406E-2</v>
      </c>
      <c r="M10" t="s">
        <v>95</v>
      </c>
    </row>
    <row r="11" spans="1:18" x14ac:dyDescent="0.3">
      <c r="A11" s="1" t="s">
        <v>31</v>
      </c>
      <c r="B11" s="4">
        <v>1210038.6000000001</v>
      </c>
      <c r="C11">
        <f t="shared" si="0"/>
        <v>14.00616281789055</v>
      </c>
      <c r="D11">
        <v>1</v>
      </c>
      <c r="E11">
        <v>10</v>
      </c>
      <c r="F11">
        <f t="shared" si="1"/>
        <v>14.047797136890848</v>
      </c>
      <c r="G11">
        <f t="shared" si="2"/>
        <v>1261481.190957739</v>
      </c>
      <c r="K11" t="s">
        <v>58</v>
      </c>
      <c r="L11" s="6">
        <f>M4/AVERAGE(C2:C20)</f>
        <v>6.3028523194383866E-3</v>
      </c>
      <c r="M11" t="s">
        <v>95</v>
      </c>
    </row>
    <row r="12" spans="1:18" x14ac:dyDescent="0.3">
      <c r="A12" s="1" t="s">
        <v>32</v>
      </c>
      <c r="B12" s="4">
        <v>1255515.6000000001</v>
      </c>
      <c r="C12">
        <f t="shared" si="0"/>
        <v>14.043056882831138</v>
      </c>
      <c r="D12">
        <v>1</v>
      </c>
      <c r="E12">
        <v>11</v>
      </c>
      <c r="F12">
        <f t="shared" si="1"/>
        <v>14.110575013551454</v>
      </c>
      <c r="G12">
        <f t="shared" si="2"/>
        <v>1343212.9334744671</v>
      </c>
      <c r="K12" t="s">
        <v>50</v>
      </c>
      <c r="L12" s="6">
        <f>L4</f>
        <v>0.94399567805068407</v>
      </c>
      <c r="M12" t="s">
        <v>136</v>
      </c>
    </row>
    <row r="13" spans="1:18" x14ac:dyDescent="0.3">
      <c r="A13" s="1" t="s">
        <v>33</v>
      </c>
      <c r="B13" s="4">
        <v>1301911.8</v>
      </c>
      <c r="C13">
        <f t="shared" si="0"/>
        <v>14.079344357520579</v>
      </c>
      <c r="D13">
        <v>1</v>
      </c>
      <c r="E13">
        <v>12</v>
      </c>
      <c r="F13">
        <f t="shared" si="1"/>
        <v>14.17335289021206</v>
      </c>
      <c r="G13">
        <f t="shared" si="2"/>
        <v>1430240.0999600212</v>
      </c>
      <c r="K13" t="s">
        <v>59</v>
      </c>
      <c r="L13" s="6">
        <f>1-L12</f>
        <v>5.6004321949315927E-2</v>
      </c>
    </row>
    <row r="14" spans="1:18" x14ac:dyDescent="0.3">
      <c r="A14" s="1" t="s">
        <v>34</v>
      </c>
      <c r="B14" s="4">
        <v>1417247.1</v>
      </c>
      <c r="C14">
        <f t="shared" si="0"/>
        <v>14.164226885968192</v>
      </c>
      <c r="D14">
        <v>1</v>
      </c>
      <c r="E14">
        <v>13</v>
      </c>
      <c r="F14">
        <f t="shared" si="1"/>
        <v>14.236130766872666</v>
      </c>
      <c r="G14">
        <f t="shared" si="2"/>
        <v>1522905.7825123568</v>
      </c>
    </row>
    <row r="15" spans="1:18" x14ac:dyDescent="0.3">
      <c r="A15" s="1" t="s">
        <v>35</v>
      </c>
      <c r="B15" s="4">
        <v>1520836.1</v>
      </c>
      <c r="C15">
        <f t="shared" si="0"/>
        <v>14.234770807381201</v>
      </c>
      <c r="D15">
        <v>1</v>
      </c>
      <c r="E15">
        <v>14</v>
      </c>
      <c r="F15">
        <f t="shared" si="1"/>
        <v>14.298908643533272</v>
      </c>
      <c r="G15">
        <f t="shared" si="2"/>
        <v>1621575.3022687605</v>
      </c>
      <c r="K15" t="s">
        <v>60</v>
      </c>
      <c r="L15">
        <f>L2/L3</f>
        <v>16.927728773968767</v>
      </c>
    </row>
    <row r="16" spans="1:18" x14ac:dyDescent="0.3">
      <c r="A16" s="1" t="s">
        <v>36</v>
      </c>
      <c r="B16" s="4">
        <v>1615202.7</v>
      </c>
      <c r="C16">
        <f t="shared" si="0"/>
        <v>14.294971017598982</v>
      </c>
      <c r="D16">
        <v>1</v>
      </c>
      <c r="E16">
        <v>15</v>
      </c>
      <c r="F16">
        <f t="shared" si="1"/>
        <v>14.361686520193878</v>
      </c>
      <c r="G16">
        <f t="shared" si="2"/>
        <v>1726637.6496319375</v>
      </c>
      <c r="K16" t="s">
        <v>61</v>
      </c>
      <c r="L16">
        <f>M2/M3</f>
        <v>317.37557712408795</v>
      </c>
      <c r="N16" t="s">
        <v>117</v>
      </c>
    </row>
    <row r="17" spans="1:18" x14ac:dyDescent="0.3">
      <c r="A17" s="1" t="s">
        <v>37</v>
      </c>
      <c r="B17" s="4">
        <v>1579859.6</v>
      </c>
      <c r="C17">
        <f t="shared" si="0"/>
        <v>14.272846540295305</v>
      </c>
      <c r="D17">
        <v>1</v>
      </c>
      <c r="E17">
        <v>16</v>
      </c>
      <c r="F17">
        <f t="shared" si="1"/>
        <v>14.424464396854482</v>
      </c>
      <c r="G17">
        <f t="shared" si="2"/>
        <v>1838507.0178087712</v>
      </c>
      <c r="K17" t="s">
        <v>62</v>
      </c>
      <c r="L17">
        <f>_xlfn.T.INV.2T(0.05,M5)</f>
        <v>2.109815577833317</v>
      </c>
    </row>
    <row r="18" spans="1:18" x14ac:dyDescent="0.3">
      <c r="A18" s="1" t="s">
        <v>38</v>
      </c>
      <c r="B18" s="4">
        <v>1947571</v>
      </c>
      <c r="C18">
        <f t="shared" si="0"/>
        <v>14.482093513058649</v>
      </c>
      <c r="D18">
        <v>1</v>
      </c>
      <c r="E18">
        <v>17</v>
      </c>
      <c r="F18">
        <f t="shared" si="1"/>
        <v>14.487242273515088</v>
      </c>
      <c r="G18">
        <f t="shared" si="2"/>
        <v>1957624.4357075358</v>
      </c>
    </row>
    <row r="19" spans="1:18" x14ac:dyDescent="0.3">
      <c r="A19" s="1" t="s">
        <v>39</v>
      </c>
      <c r="B19" s="4">
        <v>2542289.4</v>
      </c>
      <c r="C19">
        <f t="shared" si="0"/>
        <v>14.748575571615698</v>
      </c>
      <c r="D19">
        <v>1</v>
      </c>
      <c r="E19">
        <v>18</v>
      </c>
      <c r="F19">
        <f t="shared" si="1"/>
        <v>14.550020150175694</v>
      </c>
      <c r="G19">
        <f t="shared" si="2"/>
        <v>2084459.5066309704</v>
      </c>
      <c r="I19" t="s">
        <v>102</v>
      </c>
      <c r="Q19" t="s">
        <v>103</v>
      </c>
    </row>
    <row r="20" spans="1:18" x14ac:dyDescent="0.3">
      <c r="A20" s="1" t="s">
        <v>40</v>
      </c>
      <c r="B20" s="4">
        <v>2557278.2999999998</v>
      </c>
      <c r="C20">
        <f t="shared" si="0"/>
        <v>14.754454086833443</v>
      </c>
      <c r="D20">
        <v>1</v>
      </c>
      <c r="E20">
        <v>19</v>
      </c>
      <c r="F20">
        <f t="shared" si="1"/>
        <v>14.6127980268363</v>
      </c>
      <c r="G20">
        <f t="shared" si="2"/>
        <v>2219512.2596198306</v>
      </c>
      <c r="I20" t="s">
        <v>63</v>
      </c>
      <c r="Q20" t="s">
        <v>64</v>
      </c>
    </row>
    <row r="21" spans="1:18" x14ac:dyDescent="0.3">
      <c r="A21" s="5">
        <v>2024</v>
      </c>
      <c r="D21" s="5">
        <v>1</v>
      </c>
      <c r="E21" s="5">
        <v>20</v>
      </c>
      <c r="F21">
        <f t="shared" si="1"/>
        <v>14.675575903496906</v>
      </c>
      <c r="G21">
        <f t="shared" si="2"/>
        <v>2363315.1207455234</v>
      </c>
    </row>
    <row r="22" spans="1:18" x14ac:dyDescent="0.3">
      <c r="A22" s="5">
        <v>2025</v>
      </c>
      <c r="D22" s="5">
        <v>1</v>
      </c>
      <c r="E22" s="5">
        <v>21</v>
      </c>
      <c r="F22">
        <f t="shared" si="1"/>
        <v>14.73835378015751</v>
      </c>
      <c r="G22">
        <f t="shared" si="2"/>
        <v>2516435.0121233799</v>
      </c>
      <c r="H22" t="s">
        <v>65</v>
      </c>
      <c r="I22">
        <f>M2+L2*E21</f>
        <v>14.675575903496906</v>
      </c>
      <c r="P22" t="s">
        <v>65</v>
      </c>
      <c r="Q22">
        <f>M2+L2*E22</f>
        <v>14.73835378015751</v>
      </c>
    </row>
    <row r="24" spans="1:18" x14ac:dyDescent="0.3">
      <c r="H24" t="s">
        <v>66</v>
      </c>
      <c r="I24">
        <f>EXP(I22)</f>
        <v>2363315.1207455234</v>
      </c>
      <c r="P24" t="s">
        <v>66</v>
      </c>
      <c r="Q24">
        <f>EXP(Q22)</f>
        <v>2516435.0121233799</v>
      </c>
    </row>
    <row r="26" spans="1:18" ht="14.4" customHeight="1" x14ac:dyDescent="0.3">
      <c r="H26" s="18" t="s">
        <v>137</v>
      </c>
      <c r="I26" s="18"/>
      <c r="J26" s="18"/>
      <c r="P26" s="18" t="s">
        <v>138</v>
      </c>
      <c r="Q26" s="18"/>
      <c r="R26" s="18"/>
    </row>
    <row r="27" spans="1:18" x14ac:dyDescent="0.3">
      <c r="H27" s="18"/>
      <c r="I27" s="18"/>
      <c r="J27" s="18"/>
      <c r="P27" s="18"/>
      <c r="Q27" s="18"/>
      <c r="R27" s="18"/>
    </row>
    <row r="28" spans="1:18" x14ac:dyDescent="0.3">
      <c r="H28" s="18"/>
      <c r="I28" s="18"/>
      <c r="J28" s="18"/>
      <c r="P28" s="18"/>
      <c r="Q28" s="18"/>
      <c r="R28" s="18"/>
    </row>
    <row r="29" spans="1:18" x14ac:dyDescent="0.3">
      <c r="H29" s="18"/>
      <c r="I29" s="18"/>
      <c r="J29" s="18"/>
      <c r="P29" s="18"/>
      <c r="Q29" s="18"/>
      <c r="R29" s="18"/>
    </row>
    <row r="31" spans="1:18" x14ac:dyDescent="0.3">
      <c r="H31" s="5" t="s">
        <v>68</v>
      </c>
      <c r="I31" s="5">
        <v>1</v>
      </c>
      <c r="J31" s="5">
        <f>E21</f>
        <v>20</v>
      </c>
      <c r="P31" s="5" t="s">
        <v>68</v>
      </c>
      <c r="Q31" s="5">
        <v>1</v>
      </c>
      <c r="R31" s="5">
        <f>E22</f>
        <v>21</v>
      </c>
    </row>
    <row r="34" spans="8:21" x14ac:dyDescent="0.3">
      <c r="H34" t="s">
        <v>75</v>
      </c>
      <c r="I34" cm="1">
        <f t="array" ref="I34">MMULT(MMULT(I31:J31,_xlfn.ANCHORARRAY(H9)),TRANSPOSE(I31:J31))</f>
        <v>0.22807017543859648</v>
      </c>
      <c r="P34" t="s">
        <v>75</v>
      </c>
      <c r="Q34" cm="1">
        <f t="array" ref="Q34">MMULT(MMULT(Q31:R31,_xlfn.ANCHORARRAY(H9)),TRANSPOSE(Q31:R31))</f>
        <v>0.26491228070175449</v>
      </c>
    </row>
    <row r="35" spans="8:21" ht="14.4" customHeight="1" x14ac:dyDescent="0.3">
      <c r="H35" t="s">
        <v>69</v>
      </c>
      <c r="I35">
        <f>SQRT(M4^2 *(1+I34))*I24</f>
        <v>231888.16517203301</v>
      </c>
      <c r="J35" s="17" t="s">
        <v>139</v>
      </c>
      <c r="K35" s="17"/>
      <c r="L35" s="17"/>
      <c r="M35" s="17"/>
      <c r="P35" t="s">
        <v>69</v>
      </c>
      <c r="Q35">
        <f>SQRT(M4^2 *(1+Q34))*Q24</f>
        <v>250588.58394939097</v>
      </c>
      <c r="R35" s="17" t="s">
        <v>140</v>
      </c>
      <c r="S35" s="17"/>
      <c r="T35" s="17"/>
      <c r="U35" s="17"/>
    </row>
    <row r="36" spans="8:21" x14ac:dyDescent="0.3">
      <c r="J36" s="17"/>
      <c r="K36" s="17"/>
      <c r="L36" s="17"/>
      <c r="M36" s="17"/>
      <c r="R36" s="17"/>
      <c r="S36" s="17"/>
      <c r="T36" s="17"/>
      <c r="U36" s="17"/>
    </row>
    <row r="37" spans="8:21" x14ac:dyDescent="0.3">
      <c r="J37" s="17"/>
      <c r="K37" s="17"/>
      <c r="L37" s="17"/>
      <c r="M37" s="17"/>
      <c r="R37" s="17"/>
      <c r="S37" s="17"/>
      <c r="T37" s="17"/>
      <c r="U37" s="17"/>
    </row>
    <row r="38" spans="8:21" x14ac:dyDescent="0.3">
      <c r="J38" s="17"/>
      <c r="K38" s="17"/>
      <c r="L38" s="17"/>
      <c r="M38" s="17"/>
      <c r="R38" s="17"/>
      <c r="S38" s="17"/>
      <c r="T38" s="17"/>
      <c r="U38" s="17"/>
    </row>
    <row r="40" spans="8:21" ht="14.4" customHeight="1" x14ac:dyDescent="0.3">
      <c r="H40" t="s">
        <v>70</v>
      </c>
      <c r="I40" s="6">
        <f>I35/I24</f>
        <v>9.8119866934580593E-2</v>
      </c>
      <c r="J40" s="18" t="s">
        <v>160</v>
      </c>
      <c r="K40" s="18"/>
      <c r="L40" s="18"/>
      <c r="M40" s="18"/>
      <c r="P40" t="s">
        <v>70</v>
      </c>
      <c r="Q40" s="6">
        <f>Q35/Q24</f>
        <v>9.9580788990033614E-2</v>
      </c>
      <c r="R40" s="18" t="s">
        <v>161</v>
      </c>
      <c r="S40" s="18"/>
      <c r="T40" s="18"/>
      <c r="U40" s="18"/>
    </row>
    <row r="41" spans="8:21" x14ac:dyDescent="0.3">
      <c r="J41" s="18"/>
      <c r="K41" s="18"/>
      <c r="L41" s="18"/>
      <c r="M41" s="18"/>
      <c r="R41" s="18"/>
      <c r="S41" s="18"/>
      <c r="T41" s="18"/>
      <c r="U41" s="18"/>
    </row>
    <row r="42" spans="8:21" x14ac:dyDescent="0.3">
      <c r="J42" s="18"/>
      <c r="K42" s="18"/>
      <c r="L42" s="18"/>
      <c r="M42" s="18"/>
      <c r="R42" s="18"/>
      <c r="S42" s="18"/>
      <c r="T42" s="18"/>
      <c r="U42" s="18"/>
    </row>
    <row r="43" spans="8:21" x14ac:dyDescent="0.3">
      <c r="J43" s="18"/>
      <c r="K43" s="18"/>
      <c r="L43" s="18"/>
      <c r="M43" s="18"/>
      <c r="R43" s="18"/>
      <c r="S43" s="18"/>
      <c r="T43" s="18"/>
      <c r="U43" s="18"/>
    </row>
    <row r="44" spans="8:21" x14ac:dyDescent="0.3">
      <c r="J44" s="18"/>
      <c r="K44" s="18"/>
      <c r="L44" s="18"/>
      <c r="M44" s="18"/>
      <c r="R44" s="18"/>
      <c r="S44" s="18"/>
      <c r="T44" s="18"/>
      <c r="U44" s="18"/>
    </row>
  </sheetData>
  <mergeCells count="6">
    <mergeCell ref="J40:M44"/>
    <mergeCell ref="R40:U44"/>
    <mergeCell ref="H26:J29"/>
    <mergeCell ref="P26:R29"/>
    <mergeCell ref="J35:M38"/>
    <mergeCell ref="R35:U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9AD2-B783-4600-8DF5-15BB84F31B2F}">
  <dimension ref="A1:X47"/>
  <sheetViews>
    <sheetView topLeftCell="B19" zoomScale="76" zoomScaleNormal="85" workbookViewId="0">
      <selection activeCell="J43" sqref="J43"/>
    </sheetView>
  </sheetViews>
  <sheetFormatPr defaultRowHeight="14.4" x14ac:dyDescent="0.3"/>
  <cols>
    <col min="1" max="1" width="9" bestFit="1" customWidth="1"/>
    <col min="2" max="2" width="12.33203125" customWidth="1"/>
    <col min="3" max="3" width="9.109375" bestFit="1" customWidth="1"/>
    <col min="4" max="5" width="9.21875" bestFit="1" customWidth="1"/>
    <col min="6" max="6" width="9" bestFit="1" customWidth="1"/>
    <col min="7" max="7" width="9" customWidth="1"/>
    <col min="9" max="9" width="23" customWidth="1"/>
    <col min="10" max="10" width="10.44140625" customWidth="1"/>
    <col min="11" max="11" width="10.21875" bestFit="1" customWidth="1"/>
    <col min="12" max="12" width="12.88671875" bestFit="1" customWidth="1"/>
    <col min="13" max="13" width="14.33203125" customWidth="1"/>
    <col min="14" max="14" width="9.109375" bestFit="1" customWidth="1"/>
    <col min="15" max="15" width="9" bestFit="1" customWidth="1"/>
    <col min="18" max="18" width="18.109375" customWidth="1"/>
    <col min="19" max="19" width="9.109375" bestFit="1" customWidth="1"/>
    <col min="20" max="20" width="12.5546875" bestFit="1" customWidth="1"/>
    <col min="21" max="21" width="9" bestFit="1" customWidth="1"/>
  </cols>
  <sheetData>
    <row r="1" spans="1:22" x14ac:dyDescent="0.3">
      <c r="A1" t="s">
        <v>44</v>
      </c>
      <c r="B1" t="s">
        <v>45</v>
      </c>
      <c r="C1" t="s">
        <v>48</v>
      </c>
      <c r="D1" t="s">
        <v>47</v>
      </c>
      <c r="E1" t="s">
        <v>82</v>
      </c>
      <c r="F1" t="s">
        <v>85</v>
      </c>
      <c r="G1" s="15" t="s">
        <v>157</v>
      </c>
      <c r="M1" t="s">
        <v>87</v>
      </c>
      <c r="N1" t="s">
        <v>84</v>
      </c>
    </row>
    <row r="2" spans="1:22" x14ac:dyDescent="0.3">
      <c r="A2" s="1" t="s">
        <v>22</v>
      </c>
      <c r="B2" s="4">
        <v>687810.1</v>
      </c>
      <c r="C2">
        <v>1</v>
      </c>
      <c r="D2">
        <v>1</v>
      </c>
      <c r="E2">
        <f>D2^2</f>
        <v>1</v>
      </c>
      <c r="F2">
        <f>D2^3</f>
        <v>1</v>
      </c>
      <c r="G2">
        <f>$O$2+$N$2*D2+$M$2*E2+$L$2*F2</f>
        <v>641121.17655502411</v>
      </c>
      <c r="I2" t="s">
        <v>86</v>
      </c>
      <c r="K2" t="s">
        <v>88</v>
      </c>
      <c r="L2" cm="1">
        <f t="array" ref="L2:O6">LINEST(B2:B20,D2:F20,1,1)</f>
        <v>836.83169191919114</v>
      </c>
      <c r="M2">
        <v>-19643.178827751173</v>
      </c>
      <c r="N2">
        <v>183356.57939261015</v>
      </c>
      <c r="O2">
        <v>476570.94429824594</v>
      </c>
      <c r="P2" t="s">
        <v>77</v>
      </c>
      <c r="R2" t="s">
        <v>124</v>
      </c>
    </row>
    <row r="3" spans="1:22" x14ac:dyDescent="0.3">
      <c r="A3" s="1" t="s">
        <v>23</v>
      </c>
      <c r="B3" s="4">
        <v>775521.5</v>
      </c>
      <c r="C3">
        <v>1</v>
      </c>
      <c r="D3">
        <v>2</v>
      </c>
      <c r="E3">
        <f t="shared" ref="E3:E21" si="0">D3^2</f>
        <v>4</v>
      </c>
      <c r="F3">
        <f t="shared" ref="F3:F22" si="1">D3^3</f>
        <v>8</v>
      </c>
      <c r="G3">
        <f t="shared" ref="G3:G22" si="2">$O$2+$N$2*D3+$M$2*E3+$L$2*F3</f>
        <v>771406.041307815</v>
      </c>
      <c r="K3" t="s">
        <v>89</v>
      </c>
      <c r="L3">
        <v>183.95674425546753</v>
      </c>
      <c r="M3">
        <v>5587.6496072865957</v>
      </c>
      <c r="N3">
        <v>48741.39660467767</v>
      </c>
      <c r="O3">
        <v>115517.9221614358</v>
      </c>
      <c r="P3" t="s">
        <v>78</v>
      </c>
      <c r="R3" t="s">
        <v>77</v>
      </c>
      <c r="S3" t="s">
        <v>141</v>
      </c>
    </row>
    <row r="4" spans="1:22" x14ac:dyDescent="0.3">
      <c r="A4" s="1" t="s">
        <v>24</v>
      </c>
      <c r="B4" s="4">
        <v>873470.7</v>
      </c>
      <c r="C4">
        <v>1</v>
      </c>
      <c r="D4">
        <v>3</v>
      </c>
      <c r="E4">
        <f t="shared" si="0"/>
        <v>9</v>
      </c>
      <c r="F4">
        <f t="shared" si="1"/>
        <v>27</v>
      </c>
      <c r="G4">
        <f t="shared" si="2"/>
        <v>872446.52870813408</v>
      </c>
      <c r="K4" t="s">
        <v>50</v>
      </c>
      <c r="L4" s="5">
        <v>0.96912368481711408</v>
      </c>
      <c r="M4">
        <v>101922.52861697838</v>
      </c>
      <c r="N4" t="e">
        <v>#N/A</v>
      </c>
      <c r="O4" t="e">
        <v>#N/A</v>
      </c>
      <c r="P4" t="s">
        <v>55</v>
      </c>
      <c r="R4" t="s">
        <v>51</v>
      </c>
      <c r="S4" s="17" t="s">
        <v>127</v>
      </c>
    </row>
    <row r="5" spans="1:22" x14ac:dyDescent="0.3">
      <c r="A5" s="1" t="s">
        <v>25</v>
      </c>
      <c r="B5" s="4">
        <v>918281.9</v>
      </c>
      <c r="C5">
        <v>1</v>
      </c>
      <c r="D5">
        <v>4</v>
      </c>
      <c r="E5">
        <f t="shared" si="0"/>
        <v>16</v>
      </c>
      <c r="F5">
        <f t="shared" si="1"/>
        <v>64</v>
      </c>
      <c r="G5">
        <f t="shared" si="2"/>
        <v>949263.62890749588</v>
      </c>
      <c r="L5">
        <v>156.93642182961608</v>
      </c>
      <c r="M5">
        <v>15</v>
      </c>
      <c r="N5" t="e">
        <v>#N/A</v>
      </c>
      <c r="O5" t="e">
        <v>#N/A</v>
      </c>
      <c r="P5" t="s">
        <v>56</v>
      </c>
      <c r="R5" t="s">
        <v>83</v>
      </c>
      <c r="S5" s="17"/>
    </row>
    <row r="6" spans="1:22" x14ac:dyDescent="0.3">
      <c r="A6" s="1" t="s">
        <v>26</v>
      </c>
      <c r="B6" s="4">
        <v>896379.8</v>
      </c>
      <c r="C6">
        <v>1</v>
      </c>
      <c r="D6">
        <v>5</v>
      </c>
      <c r="E6">
        <f t="shared" si="0"/>
        <v>25</v>
      </c>
      <c r="F6">
        <f t="shared" si="1"/>
        <v>125</v>
      </c>
      <c r="G6">
        <f t="shared" si="2"/>
        <v>1006878.332057416</v>
      </c>
      <c r="L6">
        <v>4890861677889.0674</v>
      </c>
      <c r="M6">
        <v>155823027595.18167</v>
      </c>
      <c r="N6" t="e">
        <v>#N/A</v>
      </c>
      <c r="O6" t="e">
        <v>#N/A</v>
      </c>
      <c r="R6" t="s">
        <v>88</v>
      </c>
      <c r="S6" s="17"/>
    </row>
    <row r="7" spans="1:22" x14ac:dyDescent="0.3">
      <c r="A7" s="1" t="s">
        <v>27</v>
      </c>
      <c r="B7" s="4">
        <v>985715.9</v>
      </c>
      <c r="C7">
        <v>1</v>
      </c>
      <c r="D7">
        <v>6</v>
      </c>
      <c r="E7">
        <f t="shared" si="0"/>
        <v>36</v>
      </c>
      <c r="F7">
        <f t="shared" si="1"/>
        <v>216</v>
      </c>
      <c r="G7">
        <f t="shared" si="2"/>
        <v>1050311.6283094101</v>
      </c>
    </row>
    <row r="8" spans="1:22" x14ac:dyDescent="0.3">
      <c r="A8" s="1" t="s">
        <v>28</v>
      </c>
      <c r="B8" s="4">
        <v>1137372.8</v>
      </c>
      <c r="C8">
        <v>1</v>
      </c>
      <c r="D8">
        <v>7</v>
      </c>
      <c r="E8">
        <f t="shared" si="0"/>
        <v>49</v>
      </c>
      <c r="F8">
        <f t="shared" si="1"/>
        <v>343</v>
      </c>
      <c r="G8">
        <f t="shared" si="2"/>
        <v>1084584.507814992</v>
      </c>
    </row>
    <row r="9" spans="1:22" x14ac:dyDescent="0.3">
      <c r="A9" s="1" t="s">
        <v>29</v>
      </c>
      <c r="B9" s="4">
        <v>1178303.6000000001</v>
      </c>
      <c r="C9">
        <v>1</v>
      </c>
      <c r="D9">
        <v>8</v>
      </c>
      <c r="E9">
        <f t="shared" si="0"/>
        <v>64</v>
      </c>
      <c r="F9">
        <f t="shared" si="1"/>
        <v>512</v>
      </c>
      <c r="G9">
        <f t="shared" si="2"/>
        <v>1114717.9607256779</v>
      </c>
      <c r="K9" t="s">
        <v>90</v>
      </c>
      <c r="L9" t="s">
        <v>91</v>
      </c>
    </row>
    <row r="10" spans="1:22" x14ac:dyDescent="0.3">
      <c r="A10" s="1" t="s">
        <v>30</v>
      </c>
      <c r="B10" s="4">
        <v>1182963.8999999999</v>
      </c>
      <c r="C10">
        <v>1</v>
      </c>
      <c r="D10">
        <v>9</v>
      </c>
      <c r="E10">
        <f t="shared" si="0"/>
        <v>81</v>
      </c>
      <c r="F10">
        <f t="shared" si="1"/>
        <v>729</v>
      </c>
      <c r="G10">
        <f t="shared" si="2"/>
        <v>1145732.9771929826</v>
      </c>
      <c r="K10" t="s">
        <v>55</v>
      </c>
      <c r="L10">
        <f>M4</f>
        <v>101922.52861697838</v>
      </c>
      <c r="M10" t="s">
        <v>142</v>
      </c>
    </row>
    <row r="11" spans="1:22" x14ac:dyDescent="0.3">
      <c r="A11" s="1" t="s">
        <v>31</v>
      </c>
      <c r="B11" s="4">
        <v>1210038.6000000001</v>
      </c>
      <c r="C11">
        <v>1</v>
      </c>
      <c r="D11">
        <v>10</v>
      </c>
      <c r="E11">
        <f t="shared" si="0"/>
        <v>100</v>
      </c>
      <c r="F11">
        <f t="shared" si="1"/>
        <v>1000</v>
      </c>
      <c r="G11">
        <f t="shared" si="2"/>
        <v>1182650.5473684208</v>
      </c>
      <c r="K11" t="s">
        <v>58</v>
      </c>
      <c r="L11" s="6">
        <f>M4/AVERAGE(B2:B20)</f>
        <v>7.569420582994893E-2</v>
      </c>
      <c r="M11" t="s">
        <v>143</v>
      </c>
    </row>
    <row r="12" spans="1:22" x14ac:dyDescent="0.3">
      <c r="A12" s="1" t="s">
        <v>32</v>
      </c>
      <c r="B12" s="4">
        <v>1255515.6000000001</v>
      </c>
      <c r="C12">
        <v>1</v>
      </c>
      <c r="D12">
        <v>11</v>
      </c>
      <c r="E12">
        <f t="shared" si="0"/>
        <v>121</v>
      </c>
      <c r="F12">
        <f t="shared" si="1"/>
        <v>1331</v>
      </c>
      <c r="G12">
        <f t="shared" si="2"/>
        <v>1230491.6614035086</v>
      </c>
      <c r="K12" t="s">
        <v>50</v>
      </c>
      <c r="L12" s="6">
        <f>L4</f>
        <v>0.96912368481711408</v>
      </c>
      <c r="M12" t="s">
        <v>144</v>
      </c>
    </row>
    <row r="13" spans="1:22" x14ac:dyDescent="0.3">
      <c r="A13" s="1" t="s">
        <v>33</v>
      </c>
      <c r="B13" s="4">
        <v>1301911.8</v>
      </c>
      <c r="C13">
        <v>1</v>
      </c>
      <c r="D13">
        <v>12</v>
      </c>
      <c r="E13">
        <f t="shared" si="0"/>
        <v>144</v>
      </c>
      <c r="F13">
        <f t="shared" si="1"/>
        <v>1728</v>
      </c>
      <c r="G13">
        <f t="shared" si="2"/>
        <v>1294277.3094497612</v>
      </c>
      <c r="K13" t="s">
        <v>59</v>
      </c>
      <c r="L13" s="6">
        <f>1-L12</f>
        <v>3.0876315182885916E-2</v>
      </c>
    </row>
    <row r="14" spans="1:22" x14ac:dyDescent="0.3">
      <c r="A14" s="1" t="s">
        <v>34</v>
      </c>
      <c r="B14" s="4">
        <v>1417247.1</v>
      </c>
      <c r="C14">
        <v>1</v>
      </c>
      <c r="D14">
        <v>13</v>
      </c>
      <c r="E14">
        <f t="shared" si="0"/>
        <v>169</v>
      </c>
      <c r="F14">
        <f t="shared" si="1"/>
        <v>2197</v>
      </c>
      <c r="G14">
        <f t="shared" si="2"/>
        <v>1379028.4816586925</v>
      </c>
      <c r="K14" t="s">
        <v>56</v>
      </c>
      <c r="L14">
        <f>M5</f>
        <v>15</v>
      </c>
    </row>
    <row r="15" spans="1:22" x14ac:dyDescent="0.3">
      <c r="A15" s="1" t="s">
        <v>35</v>
      </c>
      <c r="B15" s="4">
        <v>1520836.1</v>
      </c>
      <c r="C15">
        <v>1</v>
      </c>
      <c r="D15">
        <v>14</v>
      </c>
      <c r="E15">
        <f t="shared" si="0"/>
        <v>196</v>
      </c>
      <c r="F15">
        <f t="shared" si="1"/>
        <v>2744</v>
      </c>
      <c r="G15">
        <f t="shared" si="2"/>
        <v>1489766.1681818184</v>
      </c>
      <c r="K15" t="s">
        <v>61</v>
      </c>
      <c r="L15">
        <f>O2/O3</f>
        <v>4.1255152047510002</v>
      </c>
      <c r="S15" t="s">
        <v>67</v>
      </c>
    </row>
    <row r="16" spans="1:22" x14ac:dyDescent="0.3">
      <c r="A16" s="1" t="s">
        <v>36</v>
      </c>
      <c r="B16" s="4">
        <v>1615202.7</v>
      </c>
      <c r="C16">
        <v>1</v>
      </c>
      <c r="D16">
        <v>15</v>
      </c>
      <c r="E16">
        <f t="shared" si="0"/>
        <v>225</v>
      </c>
      <c r="F16">
        <f t="shared" si="1"/>
        <v>3375</v>
      </c>
      <c r="G16">
        <f t="shared" si="2"/>
        <v>1631511.3591706548</v>
      </c>
      <c r="K16" t="s">
        <v>60</v>
      </c>
      <c r="L16">
        <f>N2/N3</f>
        <v>3.7618244893502615</v>
      </c>
      <c r="S16" cm="1">
        <f t="array" ref="S16:V19">MINVERSE(MMULT(TRANSPOSE(C2:F20),C2:F20))</f>
        <v>1.284571723426122</v>
      </c>
      <c r="T16">
        <v>-0.49127106983139762</v>
      </c>
      <c r="U16">
        <v>5.0309597523214698E-2</v>
      </c>
      <c r="V16">
        <v>-1.504987960096164E-3</v>
      </c>
    </row>
    <row r="17" spans="1:22" x14ac:dyDescent="0.3">
      <c r="A17" s="1" t="s">
        <v>37</v>
      </c>
      <c r="B17" s="4">
        <v>1579859.6</v>
      </c>
      <c r="C17">
        <v>1</v>
      </c>
      <c r="D17">
        <v>16</v>
      </c>
      <c r="E17">
        <f t="shared" si="0"/>
        <v>256</v>
      </c>
      <c r="F17">
        <f t="shared" si="1"/>
        <v>4096</v>
      </c>
      <c r="G17">
        <f t="shared" si="2"/>
        <v>1809285.0447767149</v>
      </c>
      <c r="K17" t="s">
        <v>92</v>
      </c>
      <c r="L17">
        <f>M2/M3</f>
        <v>-3.5154636042559666</v>
      </c>
      <c r="N17" t="s">
        <v>117</v>
      </c>
      <c r="S17">
        <v>-0.49127106983139274</v>
      </c>
      <c r="T17">
        <v>0.22869441503340107</v>
      </c>
      <c r="U17">
        <v>-2.5534535983449739E-2</v>
      </c>
      <c r="V17">
        <v>8.0200873544518457E-4</v>
      </c>
    </row>
    <row r="18" spans="1:22" x14ac:dyDescent="0.3">
      <c r="A18" s="1" t="s">
        <v>38</v>
      </c>
      <c r="B18" s="4">
        <v>1947571</v>
      </c>
      <c r="C18">
        <v>1</v>
      </c>
      <c r="D18">
        <v>17</v>
      </c>
      <c r="E18">
        <f t="shared" si="0"/>
        <v>289</v>
      </c>
      <c r="F18">
        <f t="shared" si="1"/>
        <v>4913</v>
      </c>
      <c r="G18">
        <f t="shared" si="2"/>
        <v>2028108.2151515153</v>
      </c>
      <c r="K18" t="s">
        <v>93</v>
      </c>
      <c r="L18">
        <f>L2/L3</f>
        <v>4.5490677458231819</v>
      </c>
      <c r="S18">
        <v>5.0309597523213991E-2</v>
      </c>
      <c r="T18">
        <v>-2.5534535983449614E-2</v>
      </c>
      <c r="U18">
        <v>3.0055084234647642E-3</v>
      </c>
      <c r="V18">
        <v>-9.7726490915335434E-5</v>
      </c>
    </row>
    <row r="19" spans="1:22" x14ac:dyDescent="0.3">
      <c r="A19" s="1" t="s">
        <v>39</v>
      </c>
      <c r="B19" s="4">
        <v>2542289.4</v>
      </c>
      <c r="C19">
        <v>1</v>
      </c>
      <c r="D19">
        <v>18</v>
      </c>
      <c r="E19">
        <f t="shared" si="0"/>
        <v>324</v>
      </c>
      <c r="F19">
        <f t="shared" si="1"/>
        <v>5832</v>
      </c>
      <c r="G19">
        <f t="shared" si="2"/>
        <v>2293001.8604465718</v>
      </c>
      <c r="K19" t="s">
        <v>62</v>
      </c>
      <c r="L19">
        <f>_xlfn.T.INV.2T(0.05,M5)</f>
        <v>2.1314495455597742</v>
      </c>
      <c r="S19">
        <v>-1.5049879600961282E-3</v>
      </c>
      <c r="T19">
        <v>8.0200873544517698E-4</v>
      </c>
      <c r="U19">
        <v>-9.7726490915335082E-5</v>
      </c>
      <c r="V19">
        <v>3.2575496971778535E-6</v>
      </c>
    </row>
    <row r="20" spans="1:22" x14ac:dyDescent="0.3">
      <c r="A20" s="1" t="s">
        <v>40</v>
      </c>
      <c r="B20" s="4">
        <v>2557278.2999999998</v>
      </c>
      <c r="C20">
        <v>1</v>
      </c>
      <c r="D20">
        <v>19</v>
      </c>
      <c r="E20">
        <f t="shared" si="0"/>
        <v>361</v>
      </c>
      <c r="F20">
        <f t="shared" si="1"/>
        <v>6859</v>
      </c>
      <c r="G20">
        <f t="shared" si="2"/>
        <v>2608986.9708133978</v>
      </c>
    </row>
    <row r="21" spans="1:22" x14ac:dyDescent="0.3">
      <c r="A21" s="5">
        <v>2024</v>
      </c>
      <c r="C21" s="5">
        <v>1</v>
      </c>
      <c r="D21" s="5">
        <v>20</v>
      </c>
      <c r="E21">
        <f t="shared" si="0"/>
        <v>400</v>
      </c>
      <c r="F21">
        <f t="shared" si="1"/>
        <v>8000</v>
      </c>
      <c r="G21">
        <f t="shared" si="2"/>
        <v>2981084.5364035084</v>
      </c>
      <c r="K21" t="s">
        <v>102</v>
      </c>
      <c r="S21" t="s">
        <v>103</v>
      </c>
    </row>
    <row r="22" spans="1:22" x14ac:dyDescent="0.3">
      <c r="A22" s="5">
        <v>2025</v>
      </c>
      <c r="C22" s="5">
        <v>1</v>
      </c>
      <c r="D22" s="5">
        <v>21</v>
      </c>
      <c r="E22">
        <f>D22^2</f>
        <v>441</v>
      </c>
      <c r="F22">
        <f t="shared" si="1"/>
        <v>9261</v>
      </c>
      <c r="G22">
        <f t="shared" si="2"/>
        <v>3414315.5473684203</v>
      </c>
      <c r="K22" t="s">
        <v>63</v>
      </c>
      <c r="S22" t="s">
        <v>64</v>
      </c>
    </row>
    <row r="24" spans="1:22" x14ac:dyDescent="0.3">
      <c r="J24" t="s">
        <v>66</v>
      </c>
      <c r="K24">
        <f>O2+N2*D21+M2*E21+L2*F21</f>
        <v>2981084.5364035084</v>
      </c>
      <c r="M24" t="s">
        <v>66</v>
      </c>
      <c r="S24">
        <f>O2+N2*D22+M2*E22+L2*F22</f>
        <v>3414315.5473684203</v>
      </c>
    </row>
    <row r="26" spans="1:22" ht="14.4" customHeight="1" x14ac:dyDescent="0.3">
      <c r="J26" s="18" t="s">
        <v>145</v>
      </c>
      <c r="K26" s="18"/>
      <c r="L26" s="18"/>
      <c r="R26" s="18" t="s">
        <v>146</v>
      </c>
      <c r="S26" s="18"/>
      <c r="T26" s="18"/>
    </row>
    <row r="27" spans="1:22" x14ac:dyDescent="0.3">
      <c r="J27" s="18"/>
      <c r="K27" s="18"/>
      <c r="L27" s="18"/>
      <c r="R27" s="18"/>
      <c r="S27" s="18"/>
      <c r="T27" s="18"/>
    </row>
    <row r="28" spans="1:22" x14ac:dyDescent="0.3">
      <c r="J28" s="18"/>
      <c r="K28" s="18"/>
      <c r="L28" s="18"/>
      <c r="R28" s="18"/>
      <c r="S28" s="18"/>
      <c r="T28" s="18"/>
    </row>
    <row r="29" spans="1:22" x14ac:dyDescent="0.3">
      <c r="J29" s="18"/>
      <c r="K29" s="18"/>
      <c r="L29" s="18"/>
      <c r="R29" s="18"/>
      <c r="S29" s="18"/>
      <c r="T29" s="18"/>
    </row>
    <row r="32" spans="1:22" x14ac:dyDescent="0.3">
      <c r="I32" s="5" t="s">
        <v>68</v>
      </c>
      <c r="J32" s="5">
        <v>1</v>
      </c>
      <c r="K32" s="5">
        <f>D21</f>
        <v>20</v>
      </c>
      <c r="L32" s="5">
        <v>400</v>
      </c>
      <c r="M32" s="5">
        <v>8000</v>
      </c>
      <c r="R32" s="5" t="s">
        <v>68</v>
      </c>
      <c r="S32" s="5">
        <v>1</v>
      </c>
      <c r="T32" s="5">
        <f>D22</f>
        <v>21</v>
      </c>
      <c r="U32" s="5">
        <v>441</v>
      </c>
      <c r="V32" s="5">
        <v>9261</v>
      </c>
    </row>
    <row r="35" spans="9:24" x14ac:dyDescent="0.3">
      <c r="I35" t="s">
        <v>75</v>
      </c>
      <c r="J35" cm="1">
        <f t="array" ref="J35">MMULT(MMULT(J32:M32,_xlfn.ANCHORARRAY(S16)),TRANSPOSE(J32:M32))</f>
        <v>1.2845717234261453</v>
      </c>
      <c r="R35" t="s">
        <v>75</v>
      </c>
      <c r="S35" cm="1">
        <f t="array" ref="S35">MMULT(MMULT(S32:V32,_xlfn.ANCHORARRAY(S16)),TRANSPOSE(S32:V32))</f>
        <v>2.6553147574817118</v>
      </c>
    </row>
    <row r="36" spans="9:24" ht="14.4" customHeight="1" x14ac:dyDescent="0.3">
      <c r="I36" t="s">
        <v>69</v>
      </c>
      <c r="J36">
        <f>SQRT(M4^2 *(1+J35))</f>
        <v>154053.86129589091</v>
      </c>
      <c r="K36" s="17" t="s">
        <v>147</v>
      </c>
      <c r="L36" s="17"/>
      <c r="M36" s="17"/>
      <c r="N36" s="17"/>
      <c r="R36" t="s">
        <v>69</v>
      </c>
      <c r="S36">
        <f>SQRT(M4^2 *(1+S35))</f>
        <v>194864.43361546638</v>
      </c>
      <c r="T36" s="17" t="s">
        <v>149</v>
      </c>
      <c r="U36" s="17"/>
      <c r="V36" s="17"/>
      <c r="W36" s="17"/>
      <c r="X36" s="17"/>
    </row>
    <row r="37" spans="9:24" x14ac:dyDescent="0.3">
      <c r="K37" s="17"/>
      <c r="L37" s="17"/>
      <c r="M37" s="17"/>
      <c r="N37" s="17"/>
      <c r="T37" s="17"/>
      <c r="U37" s="17"/>
      <c r="V37" s="17"/>
      <c r="W37" s="17"/>
      <c r="X37" s="17"/>
    </row>
    <row r="38" spans="9:24" x14ac:dyDescent="0.3">
      <c r="K38" s="17"/>
      <c r="L38" s="17"/>
      <c r="M38" s="17"/>
      <c r="N38" s="17"/>
      <c r="T38" s="17"/>
      <c r="U38" s="17"/>
      <c r="V38" s="17"/>
      <c r="W38" s="17"/>
      <c r="X38" s="17"/>
    </row>
    <row r="39" spans="9:24" x14ac:dyDescent="0.3">
      <c r="K39" s="17"/>
      <c r="L39" s="17"/>
      <c r="M39" s="17"/>
      <c r="N39" s="17"/>
      <c r="T39" s="17"/>
      <c r="U39" s="17"/>
      <c r="V39" s="17"/>
      <c r="W39" s="17"/>
      <c r="X39" s="17"/>
    </row>
    <row r="43" spans="9:24" x14ac:dyDescent="0.3">
      <c r="I43" t="s">
        <v>70</v>
      </c>
      <c r="J43" s="6">
        <f>J36/K24</f>
        <v>5.1677119321730886E-2</v>
      </c>
      <c r="K43" s="18" t="s">
        <v>148</v>
      </c>
      <c r="L43" s="18"/>
      <c r="M43" s="18"/>
      <c r="N43" s="18"/>
      <c r="R43" t="s">
        <v>70</v>
      </c>
      <c r="S43" s="6">
        <f>S36/S24</f>
        <v>5.7072766389637861E-2</v>
      </c>
      <c r="T43" s="18" t="s">
        <v>150</v>
      </c>
      <c r="U43" s="18"/>
      <c r="V43" s="18"/>
      <c r="W43" s="18"/>
    </row>
    <row r="44" spans="9:24" x14ac:dyDescent="0.3">
      <c r="K44" s="18"/>
      <c r="L44" s="18"/>
      <c r="M44" s="18"/>
      <c r="N44" s="18"/>
      <c r="T44" s="18"/>
      <c r="U44" s="18"/>
      <c r="V44" s="18"/>
      <c r="W44" s="18"/>
    </row>
    <row r="45" spans="9:24" x14ac:dyDescent="0.3">
      <c r="K45" s="18"/>
      <c r="L45" s="18"/>
      <c r="M45" s="18"/>
      <c r="N45" s="18"/>
      <c r="T45" s="18"/>
      <c r="U45" s="18"/>
      <c r="V45" s="18"/>
      <c r="W45" s="18"/>
    </row>
    <row r="46" spans="9:24" x14ac:dyDescent="0.3">
      <c r="K46" s="18"/>
      <c r="L46" s="18"/>
      <c r="M46" s="18"/>
      <c r="N46" s="18"/>
      <c r="T46" s="18"/>
      <c r="U46" s="18"/>
      <c r="V46" s="18"/>
      <c r="W46" s="18"/>
    </row>
    <row r="47" spans="9:24" x14ac:dyDescent="0.3">
      <c r="K47" s="18"/>
      <c r="L47" s="18"/>
      <c r="M47" s="18"/>
      <c r="N47" s="18"/>
      <c r="T47" s="18"/>
      <c r="U47" s="18"/>
      <c r="V47" s="18"/>
      <c r="W47" s="18"/>
    </row>
  </sheetData>
  <mergeCells count="7">
    <mergeCell ref="S4:S6"/>
    <mergeCell ref="J26:L29"/>
    <mergeCell ref="R26:T29"/>
    <mergeCell ref="K36:N39"/>
    <mergeCell ref="K43:N47"/>
    <mergeCell ref="T43:W47"/>
    <mergeCell ref="T36:X3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46BE-9C43-49D8-AD00-AFB0B7C87834}">
  <dimension ref="A1:N22"/>
  <sheetViews>
    <sheetView topLeftCell="B3" zoomScale="62" zoomScaleNormal="100" workbookViewId="0">
      <selection activeCell="M2" sqref="M2"/>
    </sheetView>
  </sheetViews>
  <sheetFormatPr defaultRowHeight="14.4" x14ac:dyDescent="0.3"/>
  <cols>
    <col min="2" max="2" width="11.77734375" customWidth="1"/>
    <col min="3" max="3" width="10.88671875" bestFit="1" customWidth="1"/>
    <col min="4" max="4" width="16.77734375" bestFit="1" customWidth="1"/>
    <col min="6" max="6" width="16.5546875" bestFit="1" customWidth="1"/>
  </cols>
  <sheetData>
    <row r="1" spans="1:14" x14ac:dyDescent="0.3">
      <c r="A1" t="s">
        <v>44</v>
      </c>
      <c r="B1" t="s">
        <v>45</v>
      </c>
      <c r="C1" t="s">
        <v>94</v>
      </c>
      <c r="D1" t="s">
        <v>96</v>
      </c>
      <c r="E1" t="s">
        <v>100</v>
      </c>
      <c r="F1" t="s">
        <v>101</v>
      </c>
      <c r="L1" t="s">
        <v>102</v>
      </c>
    </row>
    <row r="2" spans="1:14" ht="15.6" x14ac:dyDescent="0.3">
      <c r="A2" s="1" t="s">
        <v>22</v>
      </c>
      <c r="B2" s="4">
        <v>687810.1</v>
      </c>
      <c r="C2" s="8">
        <f>B2</f>
        <v>687810.1</v>
      </c>
      <c r="D2" s="7">
        <f>B3-B2</f>
        <v>87711.400000000023</v>
      </c>
      <c r="E2" t="s">
        <v>95</v>
      </c>
      <c r="F2" t="s">
        <v>95</v>
      </c>
      <c r="L2" t="s">
        <v>104</v>
      </c>
      <c r="M2">
        <f>C20+D20*I3</f>
        <v>2644989.6999999997</v>
      </c>
      <c r="N2" s="14" t="s">
        <v>154</v>
      </c>
    </row>
    <row r="3" spans="1:14" x14ac:dyDescent="0.3">
      <c r="A3" s="1" t="s">
        <v>23</v>
      </c>
      <c r="B3" s="4">
        <v>775521.5</v>
      </c>
      <c r="C3" s="10">
        <f>$I$4*B3+(1-$I$4)*(C2+D2)</f>
        <v>775521.5</v>
      </c>
      <c r="D3" s="9">
        <f>$I$5*(C3-C2)+(1-$I$5)*(D2)</f>
        <v>87711.400000000023</v>
      </c>
      <c r="E3">
        <f>C2+$I$3*D2</f>
        <v>775521.5</v>
      </c>
      <c r="F3" s="4">
        <f>(B3-E3)^2</f>
        <v>0</v>
      </c>
      <c r="H3" t="s">
        <v>98</v>
      </c>
      <c r="I3">
        <v>1</v>
      </c>
      <c r="L3" t="s">
        <v>105</v>
      </c>
      <c r="M3" t="s">
        <v>106</v>
      </c>
    </row>
    <row r="4" spans="1:14" x14ac:dyDescent="0.3">
      <c r="A4" s="1" t="s">
        <v>24</v>
      </c>
      <c r="B4" s="4">
        <v>873470.7</v>
      </c>
      <c r="C4" s="10">
        <f t="shared" ref="C4:C20" si="0">$I$4*B4+(1-$I$4)*(C3+D3)</f>
        <v>873470.7</v>
      </c>
      <c r="D4" s="9">
        <f t="shared" ref="D4:D20" si="1">$I$5*(C4-C3)+(1-$I$5)*(D3)</f>
        <v>87711.400000000023</v>
      </c>
      <c r="E4">
        <f t="shared" ref="E4:E20" si="2">C3+$I$3*D3</f>
        <v>863232.9</v>
      </c>
      <c r="F4" s="4">
        <f t="shared" ref="F4:F20" si="3">(B4-E4)^2</f>
        <v>104812548.83999857</v>
      </c>
      <c r="H4" t="s">
        <v>97</v>
      </c>
      <c r="I4">
        <v>1</v>
      </c>
      <c r="L4" t="s">
        <v>107</v>
      </c>
      <c r="M4">
        <v>18</v>
      </c>
    </row>
    <row r="5" spans="1:14" x14ac:dyDescent="0.3">
      <c r="A5" s="1" t="s">
        <v>25</v>
      </c>
      <c r="B5" s="4">
        <v>918281.9</v>
      </c>
      <c r="C5" s="10">
        <f t="shared" si="0"/>
        <v>918281.9</v>
      </c>
      <c r="D5" s="9">
        <f t="shared" si="1"/>
        <v>87711.400000000023</v>
      </c>
      <c r="E5">
        <f t="shared" si="2"/>
        <v>961182.1</v>
      </c>
      <c r="F5" s="4">
        <f t="shared" si="3"/>
        <v>1840427160.0399959</v>
      </c>
      <c r="H5" t="s">
        <v>99</v>
      </c>
      <c r="I5">
        <v>0</v>
      </c>
      <c r="L5" t="s">
        <v>108</v>
      </c>
      <c r="M5">
        <f>SQRT(AVERAGE(F3:F20))</f>
        <v>147432.08886464001</v>
      </c>
      <c r="N5" t="s">
        <v>152</v>
      </c>
    </row>
    <row r="6" spans="1:14" x14ac:dyDescent="0.3">
      <c r="A6" s="1" t="s">
        <v>26</v>
      </c>
      <c r="B6" s="4">
        <v>896379.8</v>
      </c>
      <c r="C6" s="10">
        <f t="shared" si="0"/>
        <v>896379.8</v>
      </c>
      <c r="D6" s="9">
        <f t="shared" si="1"/>
        <v>87711.400000000023</v>
      </c>
      <c r="E6">
        <f t="shared" si="2"/>
        <v>1005993.3</v>
      </c>
      <c r="F6" s="4">
        <f t="shared" si="3"/>
        <v>12015119382.25</v>
      </c>
      <c r="L6" t="s">
        <v>109</v>
      </c>
      <c r="M6" s="6">
        <f>M5/AVERAGE(B3:B20)</f>
        <v>0.10659556356523564</v>
      </c>
      <c r="N6" t="s">
        <v>151</v>
      </c>
    </row>
    <row r="7" spans="1:14" x14ac:dyDescent="0.3">
      <c r="A7" s="1" t="s">
        <v>27</v>
      </c>
      <c r="B7" s="4">
        <v>985715.9</v>
      </c>
      <c r="C7" s="10">
        <f t="shared" si="0"/>
        <v>985715.9</v>
      </c>
      <c r="D7" s="9">
        <f t="shared" si="1"/>
        <v>87711.400000000023</v>
      </c>
      <c r="E7">
        <f t="shared" si="2"/>
        <v>984091.20000000007</v>
      </c>
      <c r="F7" s="4">
        <f t="shared" si="3"/>
        <v>2639650.0899998485</v>
      </c>
    </row>
    <row r="8" spans="1:14" x14ac:dyDescent="0.3">
      <c r="A8" s="1" t="s">
        <v>28</v>
      </c>
      <c r="B8" s="4">
        <v>1137372.8</v>
      </c>
      <c r="C8" s="10">
        <f t="shared" si="0"/>
        <v>1137372.8</v>
      </c>
      <c r="D8" s="9">
        <f t="shared" si="1"/>
        <v>87711.400000000023</v>
      </c>
      <c r="E8">
        <f t="shared" si="2"/>
        <v>1073427.3</v>
      </c>
      <c r="F8" s="4">
        <f t="shared" si="3"/>
        <v>4089026970.25</v>
      </c>
    </row>
    <row r="9" spans="1:14" x14ac:dyDescent="0.3">
      <c r="A9" s="1" t="s">
        <v>29</v>
      </c>
      <c r="B9" s="4">
        <v>1178303.6000000001</v>
      </c>
      <c r="C9" s="10">
        <f t="shared" si="0"/>
        <v>1178303.6000000001</v>
      </c>
      <c r="D9" s="9">
        <f t="shared" si="1"/>
        <v>87711.400000000023</v>
      </c>
      <c r="E9">
        <f t="shared" si="2"/>
        <v>1225084.2000000002</v>
      </c>
      <c r="F9" s="4">
        <f t="shared" si="3"/>
        <v>2188424536.3600087</v>
      </c>
    </row>
    <row r="10" spans="1:14" x14ac:dyDescent="0.3">
      <c r="A10" s="1" t="s">
        <v>30</v>
      </c>
      <c r="B10" s="4">
        <v>1182963.8999999999</v>
      </c>
      <c r="C10" s="10">
        <f t="shared" si="0"/>
        <v>1182963.8999999999</v>
      </c>
      <c r="D10" s="9">
        <f t="shared" si="1"/>
        <v>87711.400000000023</v>
      </c>
      <c r="E10">
        <f t="shared" si="2"/>
        <v>1266015</v>
      </c>
      <c r="F10" s="4">
        <f t="shared" si="3"/>
        <v>6897485211.2100153</v>
      </c>
    </row>
    <row r="11" spans="1:14" x14ac:dyDescent="0.3">
      <c r="A11" s="1" t="s">
        <v>31</v>
      </c>
      <c r="B11" s="4">
        <v>1210038.6000000001</v>
      </c>
      <c r="C11" s="10">
        <f t="shared" si="0"/>
        <v>1210038.6000000001</v>
      </c>
      <c r="D11" s="9">
        <f t="shared" si="1"/>
        <v>87711.400000000023</v>
      </c>
      <c r="E11">
        <f t="shared" si="2"/>
        <v>1270675.2999999998</v>
      </c>
      <c r="F11" s="4">
        <f t="shared" si="3"/>
        <v>3676809386.889966</v>
      </c>
    </row>
    <row r="12" spans="1:14" x14ac:dyDescent="0.3">
      <c r="A12" s="1" t="s">
        <v>32</v>
      </c>
      <c r="B12" s="4">
        <v>1255515.6000000001</v>
      </c>
      <c r="C12" s="10">
        <f t="shared" si="0"/>
        <v>1255515.6000000001</v>
      </c>
      <c r="D12" s="9">
        <f t="shared" si="1"/>
        <v>87711.400000000023</v>
      </c>
      <c r="E12">
        <f t="shared" si="2"/>
        <v>1297750</v>
      </c>
      <c r="F12" s="4">
        <f t="shared" si="3"/>
        <v>1783744543.359992</v>
      </c>
    </row>
    <row r="13" spans="1:14" x14ac:dyDescent="0.3">
      <c r="A13" s="1" t="s">
        <v>33</v>
      </c>
      <c r="B13" s="4">
        <v>1301911.8</v>
      </c>
      <c r="C13" s="10">
        <f t="shared" si="0"/>
        <v>1301911.8</v>
      </c>
      <c r="D13" s="9">
        <f t="shared" si="1"/>
        <v>87711.400000000023</v>
      </c>
      <c r="E13">
        <f t="shared" si="2"/>
        <v>1343227</v>
      </c>
      <c r="F13" s="4">
        <f t="shared" si="3"/>
        <v>1706945751.0399961</v>
      </c>
    </row>
    <row r="14" spans="1:14" x14ac:dyDescent="0.3">
      <c r="A14" s="1" t="s">
        <v>34</v>
      </c>
      <c r="B14" s="4">
        <v>1417247.1</v>
      </c>
      <c r="C14" s="10">
        <f t="shared" si="0"/>
        <v>1417247.1</v>
      </c>
      <c r="D14" s="9">
        <f t="shared" si="1"/>
        <v>87711.400000000023</v>
      </c>
      <c r="E14">
        <f t="shared" si="2"/>
        <v>1389623.2000000002</v>
      </c>
      <c r="F14" s="4">
        <f t="shared" si="3"/>
        <v>763079851.20999491</v>
      </c>
    </row>
    <row r="15" spans="1:14" x14ac:dyDescent="0.3">
      <c r="A15" s="1" t="s">
        <v>35</v>
      </c>
      <c r="B15" s="4">
        <v>1520836.1</v>
      </c>
      <c r="C15" s="10">
        <f t="shared" si="0"/>
        <v>1520836.1</v>
      </c>
      <c r="D15" s="9">
        <f t="shared" si="1"/>
        <v>87711.400000000023</v>
      </c>
      <c r="E15">
        <f t="shared" si="2"/>
        <v>1504958.5</v>
      </c>
      <c r="F15" s="4">
        <f t="shared" si="3"/>
        <v>252098181.76000297</v>
      </c>
    </row>
    <row r="16" spans="1:14" x14ac:dyDescent="0.3">
      <c r="A16" s="1" t="s">
        <v>36</v>
      </c>
      <c r="B16" s="4">
        <v>1615202.7</v>
      </c>
      <c r="C16" s="10">
        <f t="shared" si="0"/>
        <v>1615202.7</v>
      </c>
      <c r="D16" s="9">
        <f t="shared" si="1"/>
        <v>87711.400000000023</v>
      </c>
      <c r="E16">
        <f t="shared" si="2"/>
        <v>1608547.5</v>
      </c>
      <c r="F16" s="4">
        <f t="shared" si="3"/>
        <v>44291687.039999381</v>
      </c>
    </row>
    <row r="17" spans="1:6" x14ac:dyDescent="0.3">
      <c r="A17" s="1" t="s">
        <v>37</v>
      </c>
      <c r="B17" s="4">
        <v>1579859.6</v>
      </c>
      <c r="C17" s="10">
        <f t="shared" si="0"/>
        <v>1579859.6</v>
      </c>
      <c r="D17" s="9">
        <f t="shared" si="1"/>
        <v>87711.400000000023</v>
      </c>
      <c r="E17">
        <f t="shared" si="2"/>
        <v>1702914.1</v>
      </c>
      <c r="F17" s="4">
        <f t="shared" si="3"/>
        <v>15142409970.25</v>
      </c>
    </row>
    <row r="18" spans="1:6" x14ac:dyDescent="0.3">
      <c r="A18" s="1" t="s">
        <v>38</v>
      </c>
      <c r="B18" s="4">
        <v>1947571</v>
      </c>
      <c r="C18" s="10">
        <f t="shared" si="0"/>
        <v>1947571</v>
      </c>
      <c r="D18" s="9">
        <f t="shared" si="1"/>
        <v>87711.400000000023</v>
      </c>
      <c r="E18">
        <f t="shared" si="2"/>
        <v>1667571</v>
      </c>
      <c r="F18" s="4">
        <f t="shared" si="3"/>
        <v>78400000000</v>
      </c>
    </row>
    <row r="19" spans="1:6" x14ac:dyDescent="0.3">
      <c r="A19" s="1" t="s">
        <v>39</v>
      </c>
      <c r="B19" s="4">
        <v>2542289.4</v>
      </c>
      <c r="C19" s="10">
        <f t="shared" si="0"/>
        <v>2542289.4</v>
      </c>
      <c r="D19" s="9">
        <f t="shared" si="1"/>
        <v>87711.400000000023</v>
      </c>
      <c r="E19">
        <f t="shared" si="2"/>
        <v>2035282.4</v>
      </c>
      <c r="F19" s="4">
        <f t="shared" si="3"/>
        <v>257056098049</v>
      </c>
    </row>
    <row r="20" spans="1:6" x14ac:dyDescent="0.3">
      <c r="A20" s="1" t="s">
        <v>40</v>
      </c>
      <c r="B20" s="4">
        <v>2557278.2999999998</v>
      </c>
      <c r="C20" s="10">
        <f t="shared" si="0"/>
        <v>2557278.2999999998</v>
      </c>
      <c r="D20" s="9">
        <f t="shared" si="1"/>
        <v>87711.400000000023</v>
      </c>
      <c r="E20">
        <f t="shared" si="2"/>
        <v>2630000.7999999998</v>
      </c>
      <c r="F20" s="4">
        <f t="shared" si="3"/>
        <v>5288562006.25</v>
      </c>
    </row>
    <row r="21" spans="1:6" x14ac:dyDescent="0.3">
      <c r="A21" s="5">
        <v>2024</v>
      </c>
    </row>
    <row r="22" spans="1:6" x14ac:dyDescent="0.3">
      <c r="A22" s="5">
        <v>2025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9218" r:id="rId3">
          <objectPr defaultSize="0" autoPict="0" r:id="rId4">
            <anchor moveWithCells="1">
              <from>
                <xdr:col>8</xdr:col>
                <xdr:colOff>388620</xdr:colOff>
                <xdr:row>11</xdr:row>
                <xdr:rowOff>30480</xdr:rowOff>
              </from>
              <to>
                <xdr:col>12</xdr:col>
                <xdr:colOff>137160</xdr:colOff>
                <xdr:row>14</xdr:row>
                <xdr:rowOff>22860</xdr:rowOff>
              </to>
            </anchor>
          </objectPr>
        </oleObject>
      </mc:Choice>
      <mc:Fallback>
        <oleObject progId="Equation.3" shapeId="9218" r:id="rId3"/>
      </mc:Fallback>
    </mc:AlternateContent>
    <mc:AlternateContent xmlns:mc="http://schemas.openxmlformats.org/markup-compatibility/2006">
      <mc:Choice Requires="x14">
        <oleObject progId="Equation.3" shapeId="9219" r:id="rId5">
          <objectPr defaultSize="0" autoPict="0" r:id="rId6">
            <anchor moveWithCells="1">
              <from>
                <xdr:col>7</xdr:col>
                <xdr:colOff>365760</xdr:colOff>
                <xdr:row>35</xdr:row>
                <xdr:rowOff>167640</xdr:rowOff>
              </from>
              <to>
                <xdr:col>16</xdr:col>
                <xdr:colOff>480060</xdr:colOff>
                <xdr:row>40</xdr:row>
                <xdr:rowOff>144780</xdr:rowOff>
              </to>
            </anchor>
          </objectPr>
        </oleObject>
      </mc:Choice>
      <mc:Fallback>
        <oleObject progId="Equation.3" shapeId="9219" r:id="rId5"/>
      </mc:Fallback>
    </mc:AlternateContent>
    <mc:AlternateContent xmlns:mc="http://schemas.openxmlformats.org/markup-compatibility/2006">
      <mc:Choice Requires="x14">
        <oleObject progId="Equation.3" shapeId="9220" r:id="rId7">
          <objectPr defaultSize="0" autoPict="0" r:id="rId6">
            <anchor moveWithCells="1">
              <from>
                <xdr:col>6</xdr:col>
                <xdr:colOff>190500</xdr:colOff>
                <xdr:row>15</xdr:row>
                <xdr:rowOff>76200</xdr:rowOff>
              </from>
              <to>
                <xdr:col>14</xdr:col>
                <xdr:colOff>556260</xdr:colOff>
                <xdr:row>19</xdr:row>
                <xdr:rowOff>175260</xdr:rowOff>
              </to>
            </anchor>
          </objectPr>
        </oleObject>
      </mc:Choice>
      <mc:Fallback>
        <oleObject progId="Equation.3" shapeId="9220" r:id="rId7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BB4A-F464-49DD-92A8-040F8B8029F7}">
  <dimension ref="A1:N22"/>
  <sheetViews>
    <sheetView topLeftCell="E1" workbookViewId="0">
      <selection activeCell="N7" sqref="N7"/>
    </sheetView>
  </sheetViews>
  <sheetFormatPr defaultRowHeight="14.4" x14ac:dyDescent="0.3"/>
  <cols>
    <col min="2" max="2" width="11.77734375" customWidth="1"/>
    <col min="3" max="3" width="10.88671875" bestFit="1" customWidth="1"/>
    <col min="4" max="4" width="16.77734375" bestFit="1" customWidth="1"/>
    <col min="6" max="6" width="16.5546875" bestFit="1" customWidth="1"/>
  </cols>
  <sheetData>
    <row r="1" spans="1:14" x14ac:dyDescent="0.3">
      <c r="A1" t="s">
        <v>44</v>
      </c>
      <c r="B1" t="s">
        <v>45</v>
      </c>
      <c r="C1" t="s">
        <v>94</v>
      </c>
      <c r="D1" t="s">
        <v>96</v>
      </c>
      <c r="E1" t="s">
        <v>100</v>
      </c>
      <c r="F1" t="s">
        <v>101</v>
      </c>
      <c r="L1" t="s">
        <v>103</v>
      </c>
    </row>
    <row r="2" spans="1:14" ht="15.6" x14ac:dyDescent="0.3">
      <c r="A2" s="1" t="s">
        <v>22</v>
      </c>
      <c r="B2" s="4">
        <v>687810.1</v>
      </c>
      <c r="C2" s="8">
        <f>B2</f>
        <v>687810.1</v>
      </c>
      <c r="D2" s="7">
        <f>B3-B2</f>
        <v>87711.400000000023</v>
      </c>
      <c r="E2" t="s">
        <v>95</v>
      </c>
      <c r="L2" t="s">
        <v>104</v>
      </c>
      <c r="M2">
        <f>C20+D20*I3</f>
        <v>3118928.7463689945</v>
      </c>
      <c r="N2" s="14" t="s">
        <v>153</v>
      </c>
    </row>
    <row r="3" spans="1:14" x14ac:dyDescent="0.3">
      <c r="A3" s="1" t="s">
        <v>23</v>
      </c>
      <c r="B3" s="4">
        <v>775521.5</v>
      </c>
      <c r="C3" s="10">
        <f>$I$4*B3+(1-$I$4)*(C2+D2)</f>
        <v>775521.5</v>
      </c>
      <c r="D3" s="9">
        <f>$I$5*(C3-C2)+(1-$I$5)*(D2)</f>
        <v>87711.400000000023</v>
      </c>
      <c r="E3">
        <f>C2+$I$3*D2</f>
        <v>863232.9</v>
      </c>
      <c r="F3" s="4">
        <f>(B3-E3)^2</f>
        <v>7693289689.9600039</v>
      </c>
      <c r="H3" t="s">
        <v>98</v>
      </c>
      <c r="I3">
        <v>2</v>
      </c>
      <c r="L3" t="s">
        <v>105</v>
      </c>
      <c r="M3" t="s">
        <v>106</v>
      </c>
    </row>
    <row r="4" spans="1:14" x14ac:dyDescent="0.3">
      <c r="A4" s="1" t="s">
        <v>24</v>
      </c>
      <c r="B4" s="4">
        <v>873470.7</v>
      </c>
      <c r="C4" s="10">
        <f t="shared" ref="C4:C20" si="0">$I$4*B4+(1-$I$4)*(C3+D3)</f>
        <v>865818.03225567762</v>
      </c>
      <c r="D4" s="9">
        <f t="shared" ref="D4:D20" si="1">$I$5*(C4-C3)+(1-$I$5)*(D3)</f>
        <v>90296.532255677623</v>
      </c>
      <c r="E4">
        <f t="shared" ref="E4:E20" si="2">C3+$I$3*D3</f>
        <v>950944.3</v>
      </c>
      <c r="F4" s="4">
        <f t="shared" ref="F4:F20" si="3">(B4-E4)^2</f>
        <v>6002158696.9600143</v>
      </c>
      <c r="H4" t="s">
        <v>97</v>
      </c>
      <c r="I4">
        <v>0.2525085717319841</v>
      </c>
      <c r="L4" t="s">
        <v>107</v>
      </c>
      <c r="M4">
        <v>18</v>
      </c>
    </row>
    <row r="5" spans="1:14" x14ac:dyDescent="0.3">
      <c r="A5" s="1" t="s">
        <v>25</v>
      </c>
      <c r="B5" s="4">
        <v>918281.9</v>
      </c>
      <c r="C5" s="10">
        <f t="shared" si="0"/>
        <v>946561.49243077764</v>
      </c>
      <c r="D5" s="9">
        <f t="shared" si="1"/>
        <v>80743.460175100015</v>
      </c>
      <c r="E5">
        <f t="shared" si="2"/>
        <v>1046411.0967670329</v>
      </c>
      <c r="F5" s="4">
        <f t="shared" si="3"/>
        <v>16417091064.16502</v>
      </c>
      <c r="H5" t="s">
        <v>99</v>
      </c>
      <c r="I5">
        <v>1</v>
      </c>
      <c r="L5" t="s">
        <v>108</v>
      </c>
      <c r="M5">
        <f>SQRT(AVERAGE(F3:F20))</f>
        <v>152391.33494381796</v>
      </c>
      <c r="N5" t="s">
        <v>155</v>
      </c>
    </row>
    <row r="6" spans="1:14" x14ac:dyDescent="0.3">
      <c r="A6" s="1" t="s">
        <v>26</v>
      </c>
      <c r="B6" s="4">
        <v>896379.8</v>
      </c>
      <c r="C6" s="10">
        <f t="shared" si="0"/>
        <v>994245.22931757546</v>
      </c>
      <c r="D6" s="9">
        <f t="shared" si="1"/>
        <v>47683.736886797822</v>
      </c>
      <c r="E6">
        <f t="shared" si="2"/>
        <v>1108048.4127809778</v>
      </c>
      <c r="F6" s="4">
        <f t="shared" si="3"/>
        <v>44803601636.623489</v>
      </c>
      <c r="L6" t="s">
        <v>109</v>
      </c>
      <c r="M6" s="6">
        <f>M5/AVERAGE(B3:B20)</f>
        <v>0.11018117124901476</v>
      </c>
      <c r="N6" t="s">
        <v>156</v>
      </c>
    </row>
    <row r="7" spans="1:14" x14ac:dyDescent="0.3">
      <c r="A7" s="1" t="s">
        <v>27</v>
      </c>
      <c r="B7" s="4">
        <v>985715.9</v>
      </c>
      <c r="C7" s="10">
        <f t="shared" si="0"/>
        <v>1027734.6851444314</v>
      </c>
      <c r="D7" s="9">
        <f t="shared" si="1"/>
        <v>33489.455826855963</v>
      </c>
      <c r="E7">
        <f t="shared" si="2"/>
        <v>1089612.7030911711</v>
      </c>
      <c r="F7" s="4">
        <f t="shared" si="3"/>
        <v>10794545692.565577</v>
      </c>
    </row>
    <row r="8" spans="1:14" x14ac:dyDescent="0.3">
      <c r="A8" s="1" t="s">
        <v>28</v>
      </c>
      <c r="B8" s="4">
        <v>1137372.8</v>
      </c>
      <c r="C8" s="10">
        <f t="shared" si="0"/>
        <v>1080452.3301019333</v>
      </c>
      <c r="D8" s="9">
        <f t="shared" si="1"/>
        <v>52717.644957501907</v>
      </c>
      <c r="E8">
        <f t="shared" si="2"/>
        <v>1094713.5967981433</v>
      </c>
      <c r="F8" s="4">
        <f t="shared" si="3"/>
        <v>1819807617.8173006</v>
      </c>
    </row>
    <row r="9" spans="1:14" x14ac:dyDescent="0.3">
      <c r="A9" s="1" t="s">
        <v>29</v>
      </c>
      <c r="B9" s="4">
        <v>1178303.6000000001</v>
      </c>
      <c r="C9" s="10">
        <f t="shared" si="0"/>
        <v>1144566.6022302643</v>
      </c>
      <c r="D9" s="9">
        <f t="shared" si="1"/>
        <v>64114.272128331009</v>
      </c>
      <c r="E9">
        <f t="shared" si="2"/>
        <v>1185887.6200169371</v>
      </c>
      <c r="F9" s="4">
        <f t="shared" si="3"/>
        <v>57517359.617301866</v>
      </c>
    </row>
    <row r="10" spans="1:14" x14ac:dyDescent="0.3">
      <c r="A10" s="1" t="s">
        <v>30</v>
      </c>
      <c r="B10" s="4">
        <v>1182963.8999999999</v>
      </c>
      <c r="C10" s="10">
        <f t="shared" si="0"/>
        <v>1202187.1178940383</v>
      </c>
      <c r="D10" s="9">
        <f t="shared" si="1"/>
        <v>57620.515663773986</v>
      </c>
      <c r="E10">
        <f t="shared" si="2"/>
        <v>1272795.1464869264</v>
      </c>
      <c r="F10" s="4">
        <f t="shared" si="3"/>
        <v>8069652845.3949356</v>
      </c>
    </row>
    <row r="11" spans="1:14" x14ac:dyDescent="0.3">
      <c r="A11" s="1" t="s">
        <v>31</v>
      </c>
      <c r="B11" s="4">
        <v>1210038.6000000001</v>
      </c>
      <c r="C11" s="10">
        <f t="shared" si="0"/>
        <v>1247240.5259776479</v>
      </c>
      <c r="D11" s="9">
        <f t="shared" si="1"/>
        <v>45053.408083609538</v>
      </c>
      <c r="E11">
        <f t="shared" si="2"/>
        <v>1317428.1492215863</v>
      </c>
      <c r="F11" s="4">
        <f t="shared" si="3"/>
        <v>11532515282.015486</v>
      </c>
    </row>
    <row r="12" spans="1:14" x14ac:dyDescent="0.3">
      <c r="A12" s="1" t="s">
        <v>32</v>
      </c>
      <c r="B12" s="4">
        <v>1255515.6000000001</v>
      </c>
      <c r="C12" s="10">
        <f t="shared" si="0"/>
        <v>1283007.0894567673</v>
      </c>
      <c r="D12" s="9">
        <f t="shared" si="1"/>
        <v>35766.563479119446</v>
      </c>
      <c r="E12">
        <f t="shared" si="2"/>
        <v>1337347.3421448669</v>
      </c>
      <c r="F12" s="4">
        <f t="shared" si="3"/>
        <v>6696434022.4639769</v>
      </c>
    </row>
    <row r="13" spans="1:14" x14ac:dyDescent="0.3">
      <c r="A13" s="1" t="s">
        <v>33</v>
      </c>
      <c r="B13" s="4">
        <v>1301911.8</v>
      </c>
      <c r="C13" s="10">
        <f t="shared" si="0"/>
        <v>1314515.8905342913</v>
      </c>
      <c r="D13" s="9">
        <f t="shared" si="1"/>
        <v>31508.801077523967</v>
      </c>
      <c r="E13">
        <f t="shared" si="2"/>
        <v>1354540.2164150062</v>
      </c>
      <c r="F13" s="4">
        <f t="shared" si="3"/>
        <v>2769750214.3512893</v>
      </c>
    </row>
    <row r="14" spans="1:14" x14ac:dyDescent="0.3">
      <c r="A14" s="1" t="s">
        <v>34</v>
      </c>
      <c r="B14" s="4">
        <v>1417247.1</v>
      </c>
      <c r="C14" s="10">
        <f t="shared" si="0"/>
        <v>1364008.9602292278</v>
      </c>
      <c r="D14" s="9">
        <f t="shared" si="1"/>
        <v>49493.069694936508</v>
      </c>
      <c r="E14">
        <f t="shared" si="2"/>
        <v>1377533.4926893392</v>
      </c>
      <c r="F14" s="4">
        <f t="shared" si="3"/>
        <v>1577170605.6253774</v>
      </c>
    </row>
    <row r="15" spans="1:14" x14ac:dyDescent="0.3">
      <c r="A15" s="1" t="s">
        <v>35</v>
      </c>
      <c r="B15" s="4">
        <v>1520836.1</v>
      </c>
      <c r="C15" s="10">
        <f t="shared" si="0"/>
        <v>1440604.8026571942</v>
      </c>
      <c r="D15" s="9">
        <f t="shared" si="1"/>
        <v>76595.842427966418</v>
      </c>
      <c r="E15">
        <f t="shared" si="2"/>
        <v>1462995.0996191008</v>
      </c>
      <c r="F15" s="4">
        <f t="shared" si="3"/>
        <v>3345581325.0631919</v>
      </c>
    </row>
    <row r="16" spans="1:14" x14ac:dyDescent="0.3">
      <c r="A16" s="1" t="s">
        <v>36</v>
      </c>
      <c r="B16" s="4">
        <v>1615202.7</v>
      </c>
      <c r="C16" s="10">
        <f t="shared" si="0"/>
        <v>1541947.0039985061</v>
      </c>
      <c r="D16" s="9">
        <f t="shared" si="1"/>
        <v>101342.20134131191</v>
      </c>
      <c r="E16">
        <f t="shared" si="2"/>
        <v>1593796.487513127</v>
      </c>
      <c r="F16" s="4">
        <f t="shared" si="3"/>
        <v>458225933.03315389</v>
      </c>
    </row>
    <row r="17" spans="1:6" x14ac:dyDescent="0.3">
      <c r="A17" s="1" t="s">
        <v>37</v>
      </c>
      <c r="B17" s="4">
        <v>1579859.6</v>
      </c>
      <c r="C17" s="10">
        <f t="shared" si="0"/>
        <v>1627272.686289937</v>
      </c>
      <c r="D17" s="9">
        <f t="shared" si="1"/>
        <v>85325.682291430887</v>
      </c>
      <c r="E17">
        <f t="shared" si="2"/>
        <v>1744631.4066811299</v>
      </c>
      <c r="F17" s="4">
        <f t="shared" si="3"/>
        <v>27149748276.963627</v>
      </c>
    </row>
    <row r="18" spans="1:6" x14ac:dyDescent="0.3">
      <c r="A18" s="1" t="s">
        <v>38</v>
      </c>
      <c r="B18" s="4">
        <v>1947571</v>
      </c>
      <c r="C18" s="10">
        <f t="shared" si="0"/>
        <v>1771930.9721369925</v>
      </c>
      <c r="D18" s="9">
        <f t="shared" si="1"/>
        <v>144658.28584705549</v>
      </c>
      <c r="E18">
        <f t="shared" si="2"/>
        <v>1797924.0508727988</v>
      </c>
      <c r="F18" s="4">
        <f t="shared" si="3"/>
        <v>22394209383.079151</v>
      </c>
    </row>
    <row r="19" spans="1:6" x14ac:dyDescent="0.3">
      <c r="A19" s="1" t="s">
        <v>39</v>
      </c>
      <c r="B19" s="4">
        <v>2542289.4</v>
      </c>
      <c r="C19" s="10">
        <f t="shared" si="0"/>
        <v>2074583.9071769956</v>
      </c>
      <c r="D19" s="9">
        <f t="shared" si="1"/>
        <v>302652.93504000315</v>
      </c>
      <c r="E19">
        <f t="shared" si="2"/>
        <v>2061247.5438311035</v>
      </c>
      <c r="F19" s="4">
        <f t="shared" si="3"/>
        <v>231401267386.41724</v>
      </c>
    </row>
    <row r="20" spans="1:6" x14ac:dyDescent="0.3">
      <c r="A20" s="1" t="s">
        <v>40</v>
      </c>
      <c r="B20" s="4">
        <v>2557278.2999999998</v>
      </c>
      <c r="C20" s="10">
        <f t="shared" si="0"/>
        <v>2422698.8535743286</v>
      </c>
      <c r="D20" s="9">
        <f t="shared" si="1"/>
        <v>348114.94639733294</v>
      </c>
      <c r="E20">
        <f t="shared" si="2"/>
        <v>2679889.777257002</v>
      </c>
      <c r="F20" s="4">
        <f t="shared" si="3"/>
        <v>15033574355.144354</v>
      </c>
    </row>
    <row r="21" spans="1:6" x14ac:dyDescent="0.3">
      <c r="A21" s="5">
        <v>2024</v>
      </c>
    </row>
    <row r="22" spans="1:6" x14ac:dyDescent="0.3">
      <c r="A22" s="5">
        <v>2025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41" r:id="rId3">
          <objectPr defaultSize="0" autoPict="0" r:id="rId4">
            <anchor moveWithCells="1">
              <from>
                <xdr:col>8</xdr:col>
                <xdr:colOff>289560</xdr:colOff>
                <xdr:row>10</xdr:row>
                <xdr:rowOff>175260</xdr:rowOff>
              </from>
              <to>
                <xdr:col>12</xdr:col>
                <xdr:colOff>38100</xdr:colOff>
                <xdr:row>13</xdr:row>
                <xdr:rowOff>167640</xdr:rowOff>
              </to>
            </anchor>
          </objectPr>
        </oleObject>
      </mc:Choice>
      <mc:Fallback>
        <oleObject progId="Equation.3" shapeId="10241" r:id="rId3"/>
      </mc:Fallback>
    </mc:AlternateContent>
    <mc:AlternateContent xmlns:mc="http://schemas.openxmlformats.org/markup-compatibility/2006">
      <mc:Choice Requires="x14">
        <oleObject progId="Equation.3" shapeId="10242" r:id="rId5">
          <objectPr defaultSize="0" autoPict="0" r:id="rId6">
            <anchor moveWithCells="1">
              <from>
                <xdr:col>6</xdr:col>
                <xdr:colOff>114300</xdr:colOff>
                <xdr:row>15</xdr:row>
                <xdr:rowOff>38100</xdr:rowOff>
              </from>
              <to>
                <xdr:col>14</xdr:col>
                <xdr:colOff>480060</xdr:colOff>
                <xdr:row>19</xdr:row>
                <xdr:rowOff>137160</xdr:rowOff>
              </to>
            </anchor>
          </objectPr>
        </oleObject>
      </mc:Choice>
      <mc:Fallback>
        <oleObject progId="Equation.3" shapeId="10242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OPIS</vt:lpstr>
      <vt:lpstr>TABLICA</vt:lpstr>
      <vt:lpstr>liniowa</vt:lpstr>
      <vt:lpstr>potęgowa</vt:lpstr>
      <vt:lpstr>wykładnicza</vt:lpstr>
      <vt:lpstr>wielomianowy</vt:lpstr>
      <vt:lpstr>Holta24</vt:lpstr>
      <vt:lpstr>holta25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Gorczyca</dc:creator>
  <cp:lastModifiedBy>Filip Gorczyca</cp:lastModifiedBy>
  <dcterms:created xsi:type="dcterms:W3CDTF">2026-01-11T16:42:52Z</dcterms:created>
  <dcterms:modified xsi:type="dcterms:W3CDTF">2026-01-16T19:59:28Z</dcterms:modified>
</cp:coreProperties>
</file>